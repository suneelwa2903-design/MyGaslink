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redentials" sheetId="1" state="visible" r:id="rId1"/>
    <sheet xmlns:r="http://schemas.openxmlformats.org/officeDocument/2006/relationships" name="Role-Based Access" sheetId="2" state="visible" r:id="rId2"/>
    <sheet xmlns:r="http://schemas.openxmlformats.org/officeDocument/2006/relationships" name="Orders Tests" sheetId="3" state="visible" r:id="rId3"/>
    <sheet xmlns:r="http://schemas.openxmlformats.org/officeDocument/2006/relationships" name="Inventory Tests" sheetId="4" state="visible" r:id="rId4"/>
    <sheet xmlns:r="http://schemas.openxmlformats.org/officeDocument/2006/relationships" name="Customer Tests" sheetId="5" state="visible" r:id="rId5"/>
    <sheet xmlns:r="http://schemas.openxmlformats.org/officeDocument/2006/relationships" name="Billing Tests" sheetId="6" state="visible" r:id="rId6"/>
    <sheet xmlns:r="http://schemas.openxmlformats.org/officeDocument/2006/relationships" name="Fleet Tests" sheetId="7" state="visible" r:id="rId7"/>
    <sheet xmlns:r="http://schemas.openxmlformats.org/officeDocument/2006/relationships" name="Settings Tests" sheetId="8" state="visible" r:id="rId8"/>
    <sheet xmlns:r="http://schemas.openxmlformats.org/officeDocument/2006/relationships" name="Workflow - Order to Payment" sheetId="9" state="visible" r:id="rId9"/>
    <sheet xmlns:r="http://schemas.openxmlformats.org/officeDocument/2006/relationships" name="Workflow - Inventory Cycle" sheetId="10" state="visible" r:id="rId10"/>
    <sheet xmlns:r="http://schemas.openxmlformats.org/officeDocument/2006/relationships" name="Customer Portal Tests" sheetId="11" state="visible" r:id="rId11"/>
    <sheet xmlns:r="http://schemas.openxmlformats.org/officeDocument/2006/relationships" name="Negative &amp; Edge Cases" sheetId="12" state="visible" r:id="rId12"/>
    <sheet xmlns:r="http://schemas.openxmlformats.org/officeDocument/2006/relationships" name="Summary Dashboard" sheetId="13" state="visible" r:id="rId13"/>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color rgb="00FFFFFF"/>
      <sz val="11"/>
    </font>
    <font>
      <name val="Arial"/>
      <sz val="10"/>
    </font>
    <font>
      <name val="Arial"/>
      <b val="1"/>
      <sz val="10"/>
    </font>
    <font>
      <name val="Arial"/>
      <b val="1"/>
      <color rgb="00FFFFFF"/>
      <sz val="12"/>
    </font>
    <font>
      <name val="Arial"/>
      <b val="1"/>
      <sz val="11"/>
    </font>
    <font>
      <name val="Arial"/>
      <b val="1"/>
      <sz val="14"/>
    </font>
  </fonts>
  <fills count="4">
    <fill>
      <patternFill/>
    </fill>
    <fill>
      <patternFill patternType="gray125"/>
    </fill>
    <fill>
      <patternFill patternType="solid">
        <fgColor rgb="001F4E79"/>
      </patternFill>
    </fill>
    <fill>
      <patternFill patternType="solid">
        <fgColor rgb="00D6EAF8"/>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3" borderId="1" pivotButton="0" quotePrefix="0" xfId="0"/>
    <xf numFmtId="0" fontId="0" fillId="3" borderId="1" pivotButton="0" quotePrefix="0" xfId="0"/>
    <xf numFmtId="164" fontId="0" fillId="3" borderId="1" pivotButton="0" quotePrefix="0" xfId="0"/>
    <xf numFmtId="0" fontId="1" fillId="2" borderId="1" applyAlignment="1" pivotButton="0" quotePrefix="0" xfId="0">
      <alignment horizontal="center" vertical="center"/>
    </xf>
    <xf numFmtId="0" fontId="3" fillId="0" borderId="1" pivotButton="0" quotePrefix="0" xfId="0"/>
    <xf numFmtId="0" fontId="2" fillId="0" borderId="1" applyAlignment="1" pivotButton="0" quotePrefix="0" xfId="0">
      <alignment horizontal="center" vertical="center"/>
    </xf>
    <xf numFmtId="164" fontId="2" fillId="0" borderId="1" applyAlignment="1" pivotButton="0" quotePrefix="0" xfId="0">
      <alignment horizontal="center" vertical="center"/>
    </xf>
    <xf numFmtId="0" fontId="4" fillId="2" borderId="1" pivotButton="0" quotePrefix="0" xfId="0"/>
    <xf numFmtId="0" fontId="5" fillId="3" borderId="1" applyAlignment="1" pivotButton="0" quotePrefix="0" xfId="0">
      <alignment horizontal="center" vertical="center"/>
    </xf>
    <xf numFmtId="164" fontId="5" fillId="3" borderId="1" applyAlignment="1" pivotButton="0" quotePrefix="0" xfId="0">
      <alignment horizontal="center" vertical="center"/>
    </xf>
    <xf numFmtId="0" fontId="6" fillId="0" borderId="0" pivotButton="0" quotePrefix="0" xfId="0"/>
  </cellXfs>
  <cellStyles count="1">
    <cellStyle name="Normal" xfId="0" builtinId="0" hidden="0"/>
  </cellStyles>
  <dxfs count="4">
    <dxf>
      <fill>
        <patternFill patternType="solid">
          <fgColor rgb="00C6EFCE"/>
        </patternFill>
      </fill>
    </dxf>
    <dxf>
      <fill>
        <patternFill patternType="solid">
          <fgColor rgb="00FFC7CE"/>
        </patternFill>
      </fill>
    </dxf>
    <dxf>
      <fill>
        <patternFill patternType="solid">
          <fgColor rgb="00FFE0B2"/>
        </patternFill>
      </fill>
    </dxf>
    <dxf>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8" customWidth="1" min="3" max="3"/>
    <col width="28" customWidth="1" min="4" max="4"/>
    <col width="40" customWidth="1" min="5" max="5"/>
  </cols>
  <sheetData>
    <row r="1">
      <c r="A1" s="1" t="inlineStr">
        <is>
          <t>Role</t>
        </is>
      </c>
      <c r="B1" s="1" t="inlineStr">
        <is>
          <t>Email</t>
        </is>
      </c>
      <c r="C1" s="1" t="inlineStr">
        <is>
          <t>Password</t>
        </is>
      </c>
      <c r="D1" s="1" t="inlineStr">
        <is>
          <t>Distributor</t>
        </is>
      </c>
      <c r="E1" s="1" t="inlineStr">
        <is>
          <t>Notes</t>
        </is>
      </c>
    </row>
    <row r="2">
      <c r="A2" s="2" t="inlineStr">
        <is>
          <t>SUPER_ADMIN</t>
        </is>
      </c>
      <c r="B2" s="2" t="inlineStr">
        <is>
          <t>admin@mygaslink.com</t>
        </is>
      </c>
      <c r="C2" s="2" t="inlineStr">
        <is>
          <t>Admin@123</t>
        </is>
      </c>
      <c r="D2" s="2" t="inlineStr">
        <is>
          <t>All (Platform)</t>
        </is>
      </c>
      <c r="E2" s="2" t="inlineStr">
        <is>
          <t>Full platform access, select distributor via header</t>
        </is>
      </c>
    </row>
    <row r="3">
      <c r="A3" s="2" t="inlineStr">
        <is>
          <t>DISTRIBUTOR_ADMIN (Non-GST)</t>
        </is>
      </c>
      <c r="B3" s="2" t="inlineStr">
        <is>
          <t>bhargava@gasagency.com</t>
        </is>
      </c>
      <c r="C3" s="2" t="inlineStr">
        <is>
          <t>Distadmin@123</t>
        </is>
      </c>
      <c r="D3" s="2" t="inlineStr">
        <is>
          <t>Bhargava Gas Agency (Hyderabad)</t>
        </is>
      </c>
      <c r="E3" s="2" t="inlineStr">
        <is>
          <t>GST disabled, dist-001</t>
        </is>
      </c>
    </row>
    <row r="4">
      <c r="A4" s="2" t="inlineStr">
        <is>
          <t>FINANCE</t>
        </is>
      </c>
      <c r="B4" s="2" t="inlineStr">
        <is>
          <t>finance@gasagency.com</t>
        </is>
      </c>
      <c r="C4" s="2" t="inlineStr">
        <is>
          <t>Finance@123</t>
        </is>
      </c>
      <c r="D4" s="2" t="inlineStr">
        <is>
          <t>Bhargava Gas Agency</t>
        </is>
      </c>
      <c r="E4" s="2" t="inlineStr">
        <is>
          <t>Billing &amp; payment operations</t>
        </is>
      </c>
    </row>
    <row r="5">
      <c r="A5" s="2" t="inlineStr">
        <is>
          <t>INVENTORY</t>
        </is>
      </c>
      <c r="B5" s="2" t="inlineStr">
        <is>
          <t>inventory@gasagency.com</t>
        </is>
      </c>
      <c r="C5" s="2" t="inlineStr">
        <is>
          <t>Inventory@123</t>
        </is>
      </c>
      <c r="D5" s="2" t="inlineStr">
        <is>
          <t>Bhargava Gas Agency</t>
        </is>
      </c>
      <c r="E5" s="2" t="inlineStr">
        <is>
          <t>Stock &amp; warehouse operations</t>
        </is>
      </c>
    </row>
    <row r="6">
      <c r="A6" s="2" t="inlineStr">
        <is>
          <t>DISTRIBUTOR_ADMIN (GST)</t>
        </is>
      </c>
      <c r="B6" s="2" t="inlineStr">
        <is>
          <t>sharma@gasdist.com</t>
        </is>
      </c>
      <c r="C6" s="2" t="inlineStr">
        <is>
          <t>Gstadmin@123</t>
        </is>
      </c>
      <c r="D6" s="2" t="inlineStr">
        <is>
          <t>Sharma Gas Distributors (Bangalore)</t>
        </is>
      </c>
      <c r="E6" s="2" t="inlineStr">
        <is>
          <t>GST sandbox mode, dist-002</t>
        </is>
      </c>
    </row>
    <row r="7">
      <c r="A7" s="2" t="inlineStr">
        <is>
          <t>DRIVER</t>
        </is>
      </c>
      <c r="B7" s="2" t="inlineStr">
        <is>
          <t>(Check drivers list)</t>
        </is>
      </c>
      <c r="C7" s="2" t="inlineStr">
        <is>
          <t>(Set via seed)</t>
        </is>
      </c>
      <c r="D7" s="2" t="inlineStr">
        <is>
          <t>Bhargava Gas Agency</t>
        </is>
      </c>
      <c r="E7" s="2" t="inlineStr">
        <is>
          <t>3 drivers: Raju Kumar, Suresh Babu, Venkat Rao</t>
        </is>
      </c>
    </row>
    <row r="8">
      <c r="A8" s="2" t="inlineStr">
        <is>
          <t>CUSTOMER</t>
        </is>
      </c>
      <c r="B8" s="2" t="inlineStr">
        <is>
          <t>(Provision via Portal Access)</t>
        </is>
      </c>
      <c r="C8" s="2" t="inlineStr">
        <is>
          <t>(Set during provisioning)</t>
        </is>
      </c>
      <c r="D8" s="2" t="inlineStr">
        <is>
          <t>Bhargava Gas Agency</t>
        </is>
      </c>
      <c r="E8" s="2" t="inlineStr">
        <is>
          <t>5 customers: Royal Kitchen, Spice Garden, Metropolis, Lakshmi Mess, Green Valley</t>
        </is>
      </c>
    </row>
  </sheetData>
  <dataValidations count="1">
    <dataValidation sqref="F2 F3 F4 F5 F6 F7 F8 F9 F10 F11 F12 F13 F14 F15 F16 F17 F18 F19 F20 F21 F22 F23 F24 F25 F26 F27 F28 F29 F30 F31 F32 F33 F34 F35 F36 F37 F38 F39 F40 F41 F42 F43 F44 F45 F46 F47 F48 F49 F50 F51 F52 F53 G2 G3 G4 G5 G6 G7 G8 G9 G10 G11 G12 G13 G14 G15 G16 G17 G18 G19 G20 G21 G22 G23 G24 G25 G26 G27 G28 G29 G30 G31 G32 G33 G34 G35 G36 G37 G38 G39 G40 G41 G42 G43 G44 G45 G46 G47 G48" showDropDown="0" showInputMessage="0" showErrorMessage="0" allowBlank="1" type="list">
      <formula1>"PASS,FAIL,BLOCKED,SKIPPED,NOT TESTED"</formula1>
    </dataValidation>
  </dataValidations>
  <pageMargins left="0.75" right="0.75" top="1" bottom="1" header="0.5" footer="0.5"/>
</worksheet>
</file>

<file path=xl/worksheets/sheet2.xml><?xml version="1.0" encoding="utf-8"?>
<worksheet xmlns="http://schemas.openxmlformats.org/spreadsheetml/2006/main">
  <sheetPr>
    <tabColor rgb="001F4E79"/>
    <outlinePr summaryBelow="1" summaryRight="1"/>
    <pageSetUpPr/>
  </sheetPr>
  <dimension ref="A1:H61"/>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22" customWidth="1" min="3" max="3"/>
    <col width="30" customWidth="1" min="4" max="4"/>
    <col width="30" customWidth="1" min="5" max="5"/>
    <col width="12" customWidth="1" min="6" max="6"/>
    <col width="30" customWidth="1" min="7" max="7"/>
    <col width="25" customWidth="1" min="8" max="8"/>
  </cols>
  <sheetData>
    <row r="1">
      <c r="A1" s="1" t="inlineStr">
        <is>
          <t>Test ID</t>
        </is>
      </c>
      <c r="B1" s="1" t="inlineStr">
        <is>
          <t>Role</t>
        </is>
      </c>
      <c r="C1" s="1" t="inlineStr">
        <is>
          <t>Page/Feature</t>
        </is>
      </c>
      <c r="D1" s="1" t="inlineStr">
        <is>
          <t>Action</t>
        </is>
      </c>
      <c r="E1" s="1" t="inlineStr">
        <is>
          <t>Expected Result</t>
        </is>
      </c>
      <c r="F1" s="1" t="inlineStr">
        <is>
          <t>Pass/Fail</t>
        </is>
      </c>
      <c r="G1" s="1" t="inlineStr">
        <is>
          <t>Actual Result</t>
        </is>
      </c>
      <c r="H1" s="1" t="inlineStr">
        <is>
          <t>Notes</t>
        </is>
      </c>
    </row>
    <row r="2">
      <c r="A2" s="2" t="inlineStr">
        <is>
          <t>RA-001</t>
        </is>
      </c>
      <c r="B2" s="2" t="inlineStr">
        <is>
          <t>SUPER_ADMIN</t>
        </is>
      </c>
      <c r="C2" s="2" t="inlineStr">
        <is>
          <t>Login</t>
        </is>
      </c>
      <c r="D2" s="2" t="inlineStr">
        <is>
          <t>Login with admin@mygaslink.com</t>
        </is>
      </c>
      <c r="E2" s="2" t="inlineStr">
        <is>
          <t>Successful login, dashboard shown</t>
        </is>
      </c>
      <c r="F2" s="2" t="inlineStr"/>
      <c r="G2" s="2" t="inlineStr"/>
      <c r="H2" s="2" t="inlineStr"/>
    </row>
    <row r="3">
      <c r="A3" s="2" t="inlineStr">
        <is>
          <t>RA-002</t>
        </is>
      </c>
      <c r="B3" s="2" t="inlineStr">
        <is>
          <t>SUPER_ADMIN</t>
        </is>
      </c>
      <c r="C3" s="2" t="inlineStr">
        <is>
          <t>Dashboard/Analytics</t>
        </is>
      </c>
      <c r="D3" s="2" t="inlineStr">
        <is>
          <t>/app/analytics</t>
        </is>
      </c>
      <c r="E3" s="2" t="inlineStr">
        <is>
          <t>KPIs and pending actions load</t>
        </is>
      </c>
      <c r="F3" s="2" t="inlineStr"/>
      <c r="G3" s="2" t="inlineStr"/>
      <c r="H3" s="2" t="inlineStr"/>
    </row>
    <row r="4">
      <c r="A4" s="2" t="inlineStr">
        <is>
          <t>RA-003</t>
        </is>
      </c>
      <c r="B4" s="2" t="inlineStr">
        <is>
          <t>SUPER_ADMIN</t>
        </is>
      </c>
      <c r="C4" s="2" t="inlineStr">
        <is>
          <t>Orders</t>
        </is>
      </c>
      <c r="D4" s="2" t="inlineStr">
        <is>
          <t>/app/orders</t>
        </is>
      </c>
      <c r="E4" s="2" t="inlineStr">
        <is>
          <t>Full CRUD access</t>
        </is>
      </c>
      <c r="F4" s="2" t="inlineStr"/>
      <c r="G4" s="2" t="inlineStr"/>
      <c r="H4" s="2" t="inlineStr"/>
    </row>
    <row r="5">
      <c r="A5" s="2" t="inlineStr">
        <is>
          <t>RA-004</t>
        </is>
      </c>
      <c r="B5" s="2" t="inlineStr">
        <is>
          <t>SUPER_ADMIN</t>
        </is>
      </c>
      <c r="C5" s="2" t="inlineStr">
        <is>
          <t>Customers</t>
        </is>
      </c>
      <c r="D5" s="2" t="inlineStr">
        <is>
          <t>/app/customers</t>
        </is>
      </c>
      <c r="E5" s="2" t="inlineStr">
        <is>
          <t>Full CRUD access</t>
        </is>
      </c>
      <c r="F5" s="2" t="inlineStr"/>
      <c r="G5" s="2" t="inlineStr"/>
      <c r="H5" s="2" t="inlineStr"/>
    </row>
    <row r="6">
      <c r="A6" s="2" t="inlineStr">
        <is>
          <t>RA-005</t>
        </is>
      </c>
      <c r="B6" s="2" t="inlineStr">
        <is>
          <t>SUPER_ADMIN</t>
        </is>
      </c>
      <c r="C6" s="2" t="inlineStr">
        <is>
          <t>Inventory</t>
        </is>
      </c>
      <c r="D6" s="2" t="inlineStr">
        <is>
          <t>/app/inventory</t>
        </is>
      </c>
      <c r="E6" s="2" t="inlineStr">
        <is>
          <t>All tabs accessible</t>
        </is>
      </c>
      <c r="F6" s="2" t="inlineStr"/>
      <c r="G6" s="2" t="inlineStr"/>
      <c r="H6" s="2" t="inlineStr"/>
    </row>
    <row r="7">
      <c r="A7" s="2" t="inlineStr">
        <is>
          <t>RA-006</t>
        </is>
      </c>
      <c r="B7" s="2" t="inlineStr">
        <is>
          <t>SUPER_ADMIN</t>
        </is>
      </c>
      <c r="C7" s="2" t="inlineStr">
        <is>
          <t>Fleet</t>
        </is>
      </c>
      <c r="D7" s="2" t="inlineStr">
        <is>
          <t>/app/fleet</t>
        </is>
      </c>
      <c r="E7" s="2" t="inlineStr">
        <is>
          <t>Full access - drivers, vehicles, assignments</t>
        </is>
      </c>
      <c r="F7" s="2" t="inlineStr"/>
      <c r="G7" s="2" t="inlineStr"/>
      <c r="H7" s="2" t="inlineStr"/>
    </row>
    <row r="8">
      <c r="A8" s="2" t="inlineStr">
        <is>
          <t>RA-007</t>
        </is>
      </c>
      <c r="B8" s="2" t="inlineStr">
        <is>
          <t>SUPER_ADMIN</t>
        </is>
      </c>
      <c r="C8" s="2" t="inlineStr">
        <is>
          <t>Billing &amp; Payments</t>
        </is>
      </c>
      <c r="D8" s="2" t="inlineStr">
        <is>
          <t>/app/billing-payments</t>
        </is>
      </c>
      <c r="E8" s="2" t="inlineStr">
        <is>
          <t>Full access</t>
        </is>
      </c>
      <c r="F8" s="2" t="inlineStr"/>
      <c r="G8" s="2" t="inlineStr"/>
      <c r="H8" s="2" t="inlineStr"/>
    </row>
    <row r="9">
      <c r="A9" s="2" t="inlineStr">
        <is>
          <t>RA-008</t>
        </is>
      </c>
      <c r="B9" s="2" t="inlineStr">
        <is>
          <t>SUPER_ADMIN</t>
        </is>
      </c>
      <c r="C9" s="2" t="inlineStr">
        <is>
          <t>Settings - All Tabs</t>
        </is>
      </c>
      <c r="D9" s="2" t="inlineStr">
        <is>
          <t>Click each tab</t>
        </is>
      </c>
      <c r="E9" s="2" t="inlineStr">
        <is>
          <t>All tabs visible and functional</t>
        </is>
      </c>
      <c r="F9" s="2" t="inlineStr"/>
      <c r="G9" s="2" t="inlineStr"/>
      <c r="H9" s="2" t="inlineStr"/>
    </row>
    <row r="10">
      <c r="A10" s="2" t="inlineStr">
        <is>
          <t>RA-009</t>
        </is>
      </c>
      <c r="B10" s="2" t="inlineStr">
        <is>
          <t>SUPER_ADMIN</t>
        </is>
      </c>
      <c r="C10" s="2" t="inlineStr">
        <is>
          <t>Distributors</t>
        </is>
      </c>
      <c r="D10" s="2" t="inlineStr">
        <is>
          <t>/app/distributors</t>
        </is>
      </c>
      <c r="E10" s="2" t="inlineStr">
        <is>
          <t>Distributor CRUD</t>
        </is>
      </c>
      <c r="F10" s="2" t="inlineStr"/>
      <c r="G10" s="2" t="inlineStr"/>
      <c r="H10" s="2" t="inlineStr"/>
    </row>
    <row r="11">
      <c r="A11" s="2" t="inlineStr">
        <is>
          <t>RA-010</t>
        </is>
      </c>
      <c r="B11" s="2" t="inlineStr">
        <is>
          <t>SUPER_ADMIN</t>
        </is>
      </c>
      <c r="C11" s="2" t="inlineStr">
        <is>
          <t>Collections</t>
        </is>
      </c>
      <c r="D11" s="2" t="inlineStr">
        <is>
          <t>/app/collections</t>
        </is>
      </c>
      <c r="E11" s="2" t="inlineStr">
        <is>
          <t>Collections dashboard loads</t>
        </is>
      </c>
      <c r="F11" s="2" t="inlineStr"/>
      <c r="G11" s="2" t="inlineStr"/>
      <c r="H11" s="2" t="inlineStr"/>
    </row>
    <row r="12">
      <c r="A12" s="2" t="inlineStr">
        <is>
          <t>RA-011</t>
        </is>
      </c>
      <c r="B12" s="2" t="inlineStr">
        <is>
          <t>SUPER_ADMIN</t>
        </is>
      </c>
      <c r="C12" s="2" t="inlineStr">
        <is>
          <t>Provider Catalog</t>
        </is>
      </c>
      <c r="D12" s="2" t="inlineStr">
        <is>
          <t>/app/provider-catalog</t>
        </is>
      </c>
      <c r="E12" s="2" t="inlineStr">
        <is>
          <t>Catalog page loads</t>
        </is>
      </c>
      <c r="F12" s="2" t="inlineStr"/>
      <c r="G12" s="2" t="inlineStr"/>
      <c r="H12" s="2" t="inlineStr"/>
    </row>
    <row r="13">
      <c r="A13" s="2" t="inlineStr">
        <is>
          <t>RA-012</t>
        </is>
      </c>
      <c r="B13" s="2" t="inlineStr">
        <is>
          <t>SUPER_ADMIN</t>
        </is>
      </c>
      <c r="C13" s="2" t="inlineStr">
        <is>
          <t>Health Monitor</t>
        </is>
      </c>
      <c r="D13" s="2" t="inlineStr">
        <is>
          <t>/app/health</t>
        </is>
      </c>
      <c r="E13" s="2" t="inlineStr">
        <is>
          <t>Health page loads</t>
        </is>
      </c>
      <c r="F13" s="2" t="inlineStr"/>
      <c r="G13" s="2" t="inlineStr"/>
      <c r="H13" s="2" t="inlineStr"/>
    </row>
    <row r="14">
      <c r="A14" s="2" t="inlineStr">
        <is>
          <t>RA-013</t>
        </is>
      </c>
      <c r="B14" s="2" t="inlineStr">
        <is>
          <t>SUPER_ADMIN</t>
        </is>
      </c>
      <c r="C14" s="2" t="inlineStr">
        <is>
          <t>Distributor Selector</t>
        </is>
      </c>
      <c r="D14" s="2" t="inlineStr">
        <is>
          <t>Check header</t>
        </is>
      </c>
      <c r="E14" s="2" t="inlineStr">
        <is>
          <t>Dropdown visible to switch distributors</t>
        </is>
      </c>
      <c r="F14" s="2" t="inlineStr"/>
      <c r="G14" s="2" t="inlineStr"/>
      <c r="H14" s="2" t="inlineStr"/>
    </row>
    <row r="15">
      <c r="A15" s="2" t="inlineStr">
        <is>
          <t>RA-014</t>
        </is>
      </c>
      <c r="B15" s="2" t="inlineStr">
        <is>
          <t>DIST_ADMIN</t>
        </is>
      </c>
      <c r="C15" s="2" t="inlineStr">
        <is>
          <t>Login</t>
        </is>
      </c>
      <c r="D15" s="2" t="inlineStr">
        <is>
          <t>Login bhargava@gasagency.com</t>
        </is>
      </c>
      <c r="E15" s="2" t="inlineStr">
        <is>
          <t>Successful login</t>
        </is>
      </c>
      <c r="F15" s="2" t="inlineStr"/>
      <c r="G15" s="2" t="inlineStr"/>
      <c r="H15" s="2" t="inlineStr"/>
    </row>
    <row r="16">
      <c r="A16" s="2" t="inlineStr">
        <is>
          <t>RA-015</t>
        </is>
      </c>
      <c r="B16" s="2" t="inlineStr">
        <is>
          <t>DIST_ADMIN</t>
        </is>
      </c>
      <c r="C16" s="2" t="inlineStr">
        <is>
          <t>Dashboard</t>
        </is>
      </c>
      <c r="D16" s="2" t="inlineStr">
        <is>
          <t>/app/analytics</t>
        </is>
      </c>
      <c r="E16" s="2" t="inlineStr">
        <is>
          <t>Own distributor data only</t>
        </is>
      </c>
      <c r="F16" s="2" t="inlineStr"/>
      <c r="G16" s="2" t="inlineStr"/>
      <c r="H16" s="2" t="inlineStr"/>
    </row>
    <row r="17">
      <c r="A17" s="2" t="inlineStr">
        <is>
          <t>RA-016</t>
        </is>
      </c>
      <c r="B17" s="2" t="inlineStr">
        <is>
          <t>DIST_ADMIN</t>
        </is>
      </c>
      <c r="C17" s="2" t="inlineStr">
        <is>
          <t>Orders</t>
        </is>
      </c>
      <c r="D17" s="2" t="inlineStr">
        <is>
          <t>/app/orders</t>
        </is>
      </c>
      <c r="E17" s="2" t="inlineStr">
        <is>
          <t>Full CRUD</t>
        </is>
      </c>
      <c r="F17" s="2" t="inlineStr"/>
      <c r="G17" s="2" t="inlineStr"/>
      <c r="H17" s="2" t="inlineStr"/>
    </row>
    <row r="18">
      <c r="A18" s="2" t="inlineStr">
        <is>
          <t>RA-017</t>
        </is>
      </c>
      <c r="B18" s="2" t="inlineStr">
        <is>
          <t>DIST_ADMIN</t>
        </is>
      </c>
      <c r="C18" s="2" t="inlineStr">
        <is>
          <t>Customers</t>
        </is>
      </c>
      <c r="D18" s="2" t="inlineStr">
        <is>
          <t>/app/customers</t>
        </is>
      </c>
      <c r="E18" s="2" t="inlineStr">
        <is>
          <t>Full CRUD</t>
        </is>
      </c>
      <c r="F18" s="2" t="inlineStr"/>
      <c r="G18" s="2" t="inlineStr"/>
      <c r="H18" s="2" t="inlineStr"/>
    </row>
    <row r="19">
      <c r="A19" s="2" t="inlineStr">
        <is>
          <t>RA-018</t>
        </is>
      </c>
      <c r="B19" s="2" t="inlineStr">
        <is>
          <t>DIST_ADMIN</t>
        </is>
      </c>
      <c r="C19" s="2" t="inlineStr">
        <is>
          <t>Inventory</t>
        </is>
      </c>
      <c r="D19" s="2" t="inlineStr">
        <is>
          <t>/app/inventory</t>
        </is>
      </c>
      <c r="E19" s="2" t="inlineStr">
        <is>
          <t>All tabs</t>
        </is>
      </c>
      <c r="F19" s="2" t="inlineStr"/>
      <c r="G19" s="2" t="inlineStr"/>
      <c r="H19" s="2" t="inlineStr"/>
    </row>
    <row r="20">
      <c r="A20" s="2" t="inlineStr">
        <is>
          <t>RA-019</t>
        </is>
      </c>
      <c r="B20" s="2" t="inlineStr">
        <is>
          <t>DIST_ADMIN</t>
        </is>
      </c>
      <c r="C20" s="2" t="inlineStr">
        <is>
          <t>Fleet</t>
        </is>
      </c>
      <c r="D20" s="2" t="inlineStr">
        <is>
          <t>/app/fleet</t>
        </is>
      </c>
      <c r="E20" s="2" t="inlineStr">
        <is>
          <t>Full access</t>
        </is>
      </c>
      <c r="F20" s="2" t="inlineStr"/>
      <c r="G20" s="2" t="inlineStr"/>
      <c r="H20" s="2" t="inlineStr"/>
    </row>
    <row r="21">
      <c r="A21" s="2" t="inlineStr">
        <is>
          <t>RA-020</t>
        </is>
      </c>
      <c r="B21" s="2" t="inlineStr">
        <is>
          <t>DIST_ADMIN</t>
        </is>
      </c>
      <c r="C21" s="2" t="inlineStr">
        <is>
          <t>Billing &amp; Payments</t>
        </is>
      </c>
      <c r="D21" s="2" t="inlineStr">
        <is>
          <t>/app/billing-payments</t>
        </is>
      </c>
      <c r="E21" s="2" t="inlineStr">
        <is>
          <t>Full access</t>
        </is>
      </c>
      <c r="F21" s="2" t="inlineStr"/>
      <c r="G21" s="2" t="inlineStr"/>
      <c r="H21" s="2" t="inlineStr"/>
    </row>
    <row r="22">
      <c r="A22" s="2" t="inlineStr">
        <is>
          <t>RA-021</t>
        </is>
      </c>
      <c r="B22" s="2" t="inlineStr">
        <is>
          <t>DIST_ADMIN</t>
        </is>
      </c>
      <c r="C22" s="2" t="inlineStr">
        <is>
          <t>Settings</t>
        </is>
      </c>
      <c r="D22" s="2" t="inlineStr">
        <is>
          <t>/app/settings</t>
        </is>
      </c>
      <c r="E22" s="2" t="inlineStr">
        <is>
          <t>All tabs</t>
        </is>
      </c>
      <c r="F22" s="2" t="inlineStr"/>
      <c r="G22" s="2" t="inlineStr"/>
      <c r="H22" s="2" t="inlineStr"/>
    </row>
    <row r="23">
      <c r="A23" s="2" t="inlineStr">
        <is>
          <t>RA-022</t>
        </is>
      </c>
      <c r="B23" s="2" t="inlineStr">
        <is>
          <t>DIST_ADMIN</t>
        </is>
      </c>
      <c r="C23" s="2" t="inlineStr">
        <is>
          <t>Collections</t>
        </is>
      </c>
      <c r="D23" s="2" t="inlineStr">
        <is>
          <t>/app/collections</t>
        </is>
      </c>
      <c r="E23" s="2" t="inlineStr">
        <is>
          <t>Loads OK</t>
        </is>
      </c>
      <c r="F23" s="2" t="inlineStr"/>
      <c r="G23" s="2" t="inlineStr"/>
      <c r="H23" s="2" t="inlineStr"/>
    </row>
    <row r="24">
      <c r="A24" s="2" t="inlineStr">
        <is>
          <t>RA-023</t>
        </is>
      </c>
      <c r="B24" s="2" t="inlineStr">
        <is>
          <t>DIST_ADMIN</t>
        </is>
      </c>
      <c r="C24" s="2" t="inlineStr">
        <is>
          <t>Distributors (DENIED)</t>
        </is>
      </c>
      <c r="D24" s="2" t="inlineStr">
        <is>
          <t>/app/distributors</t>
        </is>
      </c>
      <c r="E24" s="2" t="inlineStr">
        <is>
          <t>403 or redirected</t>
        </is>
      </c>
      <c r="F24" s="2" t="inlineStr"/>
      <c r="G24" s="2" t="inlineStr"/>
      <c r="H24" s="2" t="inlineStr"/>
    </row>
    <row r="25">
      <c r="A25" s="2" t="inlineStr">
        <is>
          <t>RA-024</t>
        </is>
      </c>
      <c r="B25" s="2" t="inlineStr">
        <is>
          <t>DIST_ADMIN</t>
        </is>
      </c>
      <c r="C25" s="2" t="inlineStr">
        <is>
          <t>Provider Catalog (DENIED)</t>
        </is>
      </c>
      <c r="D25" s="2" t="inlineStr">
        <is>
          <t>/app/provider-catalog</t>
        </is>
      </c>
      <c r="E25" s="2" t="inlineStr">
        <is>
          <t>403 or redirected</t>
        </is>
      </c>
      <c r="F25" s="2" t="inlineStr"/>
      <c r="G25" s="2" t="inlineStr"/>
      <c r="H25" s="2" t="inlineStr"/>
    </row>
    <row r="26">
      <c r="A26" s="2" t="inlineStr">
        <is>
          <t>RA-025</t>
        </is>
      </c>
      <c r="B26" s="2" t="inlineStr">
        <is>
          <t>DIST_ADMIN</t>
        </is>
      </c>
      <c r="C26" s="2" t="inlineStr">
        <is>
          <t>Distributor Selector</t>
        </is>
      </c>
      <c r="D26" s="2" t="inlineStr">
        <is>
          <t>Check header</t>
        </is>
      </c>
      <c r="E26" s="2" t="inlineStr">
        <is>
          <t>No dropdown (locked to own)</t>
        </is>
      </c>
      <c r="F26" s="2" t="inlineStr"/>
      <c r="G26" s="2" t="inlineStr"/>
      <c r="H26" s="2" t="inlineStr"/>
    </row>
    <row r="27">
      <c r="A27" s="2" t="inlineStr">
        <is>
          <t>RA-026</t>
        </is>
      </c>
      <c r="B27" s="2" t="inlineStr">
        <is>
          <t>FINANCE</t>
        </is>
      </c>
      <c r="C27" s="2" t="inlineStr">
        <is>
          <t>Login</t>
        </is>
      </c>
      <c r="D27" s="2" t="inlineStr">
        <is>
          <t>Login finance@gasagency.com</t>
        </is>
      </c>
      <c r="E27" s="2" t="inlineStr">
        <is>
          <t>Successful login</t>
        </is>
      </c>
      <c r="F27" s="2" t="inlineStr"/>
      <c r="G27" s="2" t="inlineStr"/>
      <c r="H27" s="2" t="inlineStr"/>
    </row>
    <row r="28">
      <c r="A28" s="2" t="inlineStr">
        <is>
          <t>RA-027</t>
        </is>
      </c>
      <c r="B28" s="2" t="inlineStr">
        <is>
          <t>FINANCE</t>
        </is>
      </c>
      <c r="C28" s="2" t="inlineStr">
        <is>
          <t>Dashboard</t>
        </is>
      </c>
      <c r="D28" s="2" t="inlineStr">
        <is>
          <t>/app/analytics</t>
        </is>
      </c>
      <c r="E28" s="2" t="inlineStr">
        <is>
          <t>Financial metrics visible</t>
        </is>
      </c>
      <c r="F28" s="2" t="inlineStr"/>
      <c r="G28" s="2" t="inlineStr"/>
      <c r="H28" s="2" t="inlineStr"/>
    </row>
    <row r="29">
      <c r="A29" s="2" t="inlineStr">
        <is>
          <t>RA-028</t>
        </is>
      </c>
      <c r="B29" s="2" t="inlineStr">
        <is>
          <t>FINANCE</t>
        </is>
      </c>
      <c r="C29" s="2" t="inlineStr">
        <is>
          <t>Orders (View+Create)</t>
        </is>
      </c>
      <c r="D29" s="2" t="inlineStr">
        <is>
          <t>/app/orders</t>
        </is>
      </c>
      <c r="E29" s="2" t="inlineStr">
        <is>
          <t>View and create, no assign/cancel</t>
        </is>
      </c>
      <c r="F29" s="2" t="inlineStr"/>
      <c r="G29" s="2" t="inlineStr"/>
      <c r="H29" s="2" t="inlineStr"/>
    </row>
    <row r="30">
      <c r="A30" s="2" t="inlineStr">
        <is>
          <t>RA-029</t>
        </is>
      </c>
      <c r="B30" s="2" t="inlineStr">
        <is>
          <t>FINANCE</t>
        </is>
      </c>
      <c r="C30" s="2" t="inlineStr">
        <is>
          <t>Billing &amp; Payments</t>
        </is>
      </c>
      <c r="D30" s="2" t="inlineStr">
        <is>
          <t>/app/billing-payments</t>
        </is>
      </c>
      <c r="E30" s="2" t="inlineStr">
        <is>
          <t>Full access</t>
        </is>
      </c>
      <c r="F30" s="2" t="inlineStr"/>
      <c r="G30" s="2" t="inlineStr"/>
      <c r="H30" s="2" t="inlineStr"/>
    </row>
    <row r="31">
      <c r="A31" s="2" t="inlineStr">
        <is>
          <t>RA-030</t>
        </is>
      </c>
      <c r="B31" s="2" t="inlineStr">
        <is>
          <t>FINANCE</t>
        </is>
      </c>
      <c r="C31" s="2" t="inlineStr">
        <is>
          <t>Collections</t>
        </is>
      </c>
      <c r="D31" s="2" t="inlineStr">
        <is>
          <t>/app/collections</t>
        </is>
      </c>
      <c r="E31" s="2" t="inlineStr">
        <is>
          <t>Accessible</t>
        </is>
      </c>
      <c r="F31" s="2" t="inlineStr"/>
      <c r="G31" s="2" t="inlineStr"/>
      <c r="H31" s="2" t="inlineStr"/>
    </row>
    <row r="32">
      <c r="A32" s="2" t="inlineStr">
        <is>
          <t>RA-031</t>
        </is>
      </c>
      <c r="B32" s="2" t="inlineStr">
        <is>
          <t>FINANCE</t>
        </is>
      </c>
      <c r="C32" s="2" t="inlineStr">
        <is>
          <t>Customers (View Only)</t>
        </is>
      </c>
      <c r="D32" s="2" t="inlineStr">
        <is>
          <t>/app/customers</t>
        </is>
      </c>
      <c r="E32" s="2" t="inlineStr">
        <is>
          <t>View but no create/edit/delete</t>
        </is>
      </c>
      <c r="F32" s="2" t="inlineStr"/>
      <c r="G32" s="2" t="inlineStr"/>
      <c r="H32" s="2" t="inlineStr"/>
    </row>
    <row r="33">
      <c r="A33" s="2" t="inlineStr">
        <is>
          <t>RA-032</t>
        </is>
      </c>
      <c r="B33" s="2" t="inlineStr">
        <is>
          <t>FINANCE</t>
        </is>
      </c>
      <c r="C33" s="2" t="inlineStr">
        <is>
          <t>Inventory (DENIED)</t>
        </is>
      </c>
      <c r="D33" s="2" t="inlineStr">
        <is>
          <t>/app/inventory</t>
        </is>
      </c>
      <c r="E33" s="2" t="inlineStr">
        <is>
          <t>Access denied or limited</t>
        </is>
      </c>
      <c r="F33" s="2" t="inlineStr"/>
      <c r="G33" s="2" t="inlineStr"/>
      <c r="H33" s="2" t="inlineStr"/>
    </row>
    <row r="34">
      <c r="A34" s="2" t="inlineStr">
        <is>
          <t>RA-033</t>
        </is>
      </c>
      <c r="B34" s="2" t="inlineStr">
        <is>
          <t>FINANCE</t>
        </is>
      </c>
      <c r="C34" s="2" t="inlineStr">
        <is>
          <t>Fleet (DENIED)</t>
        </is>
      </c>
      <c r="D34" s="2" t="inlineStr">
        <is>
          <t>/app/fleet</t>
        </is>
      </c>
      <c r="E34" s="2" t="inlineStr">
        <is>
          <t>Access denied</t>
        </is>
      </c>
      <c r="F34" s="2" t="inlineStr"/>
      <c r="G34" s="2" t="inlineStr"/>
      <c r="H34" s="2" t="inlineStr"/>
    </row>
    <row r="35">
      <c r="A35" s="2" t="inlineStr">
        <is>
          <t>RA-034</t>
        </is>
      </c>
      <c r="B35" s="2" t="inlineStr">
        <is>
          <t>FINANCE</t>
        </is>
      </c>
      <c r="C35" s="2" t="inlineStr">
        <is>
          <t>Settings (DENIED)</t>
        </is>
      </c>
      <c r="D35" s="2" t="inlineStr">
        <is>
          <t>/app/settings</t>
        </is>
      </c>
      <c r="E35" s="2" t="inlineStr">
        <is>
          <t>Access denied</t>
        </is>
      </c>
      <c r="F35" s="2" t="inlineStr"/>
      <c r="G35" s="2" t="inlineStr"/>
      <c r="H35" s="2" t="inlineStr"/>
    </row>
    <row r="36">
      <c r="A36" s="2" t="inlineStr">
        <is>
          <t>RA-035</t>
        </is>
      </c>
      <c r="B36" s="2" t="inlineStr">
        <is>
          <t>INVENTORY</t>
        </is>
      </c>
      <c r="C36" s="2" t="inlineStr">
        <is>
          <t>Login</t>
        </is>
      </c>
      <c r="D36" s="2" t="inlineStr">
        <is>
          <t>Login inventory@gasagency.com</t>
        </is>
      </c>
      <c r="E36" s="2" t="inlineStr">
        <is>
          <t>Successful login</t>
        </is>
      </c>
      <c r="F36" s="2" t="inlineStr"/>
      <c r="G36" s="2" t="inlineStr"/>
      <c r="H36" s="2" t="inlineStr"/>
    </row>
    <row r="37">
      <c r="A37" s="2" t="inlineStr">
        <is>
          <t>RA-036</t>
        </is>
      </c>
      <c r="B37" s="2" t="inlineStr">
        <is>
          <t>INVENTORY</t>
        </is>
      </c>
      <c r="C37" s="2" t="inlineStr">
        <is>
          <t>Dashboard</t>
        </is>
      </c>
      <c r="D37" s="2" t="inlineStr">
        <is>
          <t>/app/analytics</t>
        </is>
      </c>
      <c r="E37" s="2" t="inlineStr">
        <is>
          <t>Dashboard loads</t>
        </is>
      </c>
      <c r="F37" s="2" t="inlineStr"/>
      <c r="G37" s="2" t="inlineStr"/>
      <c r="H37" s="2" t="inlineStr"/>
    </row>
    <row r="38">
      <c r="A38" s="2" t="inlineStr">
        <is>
          <t>RA-037</t>
        </is>
      </c>
      <c r="B38" s="2" t="inlineStr">
        <is>
          <t>INVENTORY</t>
        </is>
      </c>
      <c r="C38" s="2" t="inlineStr">
        <is>
          <t>Orders (View)</t>
        </is>
      </c>
      <c r="D38" s="2" t="inlineStr">
        <is>
          <t>/app/orders</t>
        </is>
      </c>
      <c r="E38" s="2" t="inlineStr">
        <is>
          <t>View only, no create/edit</t>
        </is>
      </c>
      <c r="F38" s="2" t="inlineStr"/>
      <c r="G38" s="2" t="inlineStr"/>
      <c r="H38" s="2" t="inlineStr"/>
    </row>
    <row r="39">
      <c r="A39" s="2" t="inlineStr">
        <is>
          <t>RA-038</t>
        </is>
      </c>
      <c r="B39" s="2" t="inlineStr">
        <is>
          <t>INVENTORY</t>
        </is>
      </c>
      <c r="C39" s="2" t="inlineStr">
        <is>
          <t>Inventory (Full)</t>
        </is>
      </c>
      <c r="D39" s="2" t="inlineStr">
        <is>
          <t>/app/inventory</t>
        </is>
      </c>
      <c r="E39" s="2" t="inlineStr">
        <is>
          <t>Full access all tabs</t>
        </is>
      </c>
      <c r="F39" s="2" t="inlineStr"/>
      <c r="G39" s="2" t="inlineStr"/>
      <c r="H39" s="2" t="inlineStr"/>
    </row>
    <row r="40">
      <c r="A40" s="2" t="inlineStr">
        <is>
          <t>RA-039</t>
        </is>
      </c>
      <c r="B40" s="2" t="inlineStr">
        <is>
          <t>INVENTORY</t>
        </is>
      </c>
      <c r="C40" s="2" t="inlineStr">
        <is>
          <t>Fleet (View)</t>
        </is>
      </c>
      <c r="D40" s="2" t="inlineStr">
        <is>
          <t>/app/fleet</t>
        </is>
      </c>
      <c r="E40" s="2" t="inlineStr">
        <is>
          <t>View access</t>
        </is>
      </c>
      <c r="F40" s="2" t="inlineStr"/>
      <c r="G40" s="2" t="inlineStr"/>
      <c r="H40" s="2" t="inlineStr"/>
    </row>
    <row r="41">
      <c r="A41" s="2" t="inlineStr">
        <is>
          <t>RA-040</t>
        </is>
      </c>
      <c r="B41" s="2" t="inlineStr">
        <is>
          <t>INVENTORY</t>
        </is>
      </c>
      <c r="C41" s="2" t="inlineStr">
        <is>
          <t>Billing (DENIED)</t>
        </is>
      </c>
      <c r="D41" s="2" t="inlineStr">
        <is>
          <t>/app/billing-payments</t>
        </is>
      </c>
      <c r="E41" s="2" t="inlineStr">
        <is>
          <t>Access denied</t>
        </is>
      </c>
      <c r="F41" s="2" t="inlineStr"/>
      <c r="G41" s="2" t="inlineStr"/>
      <c r="H41" s="2" t="inlineStr"/>
    </row>
    <row r="42">
      <c r="A42" s="2" t="inlineStr">
        <is>
          <t>RA-041</t>
        </is>
      </c>
      <c r="B42" s="2" t="inlineStr">
        <is>
          <t>INVENTORY</t>
        </is>
      </c>
      <c r="C42" s="2" t="inlineStr">
        <is>
          <t>Settings (DENIED)</t>
        </is>
      </c>
      <c r="D42" s="2" t="inlineStr">
        <is>
          <t>/app/settings</t>
        </is>
      </c>
      <c r="E42" s="2" t="inlineStr">
        <is>
          <t>Access denied</t>
        </is>
      </c>
      <c r="F42" s="2" t="inlineStr"/>
      <c r="G42" s="2" t="inlineStr"/>
      <c r="H42" s="2" t="inlineStr"/>
    </row>
    <row r="43">
      <c r="A43" s="2" t="inlineStr">
        <is>
          <t>RA-042</t>
        </is>
      </c>
      <c r="B43" s="2" t="inlineStr">
        <is>
          <t>DRIVER</t>
        </is>
      </c>
      <c r="C43" s="2" t="inlineStr">
        <is>
          <t>Login</t>
        </is>
      </c>
      <c r="D43" s="2" t="inlineStr">
        <is>
          <t>Login as driver</t>
        </is>
      </c>
      <c r="E43" s="2" t="inlineStr">
        <is>
          <t>Mobile-oriented view</t>
        </is>
      </c>
      <c r="F43" s="2" t="inlineStr"/>
      <c r="G43" s="2" t="inlineStr"/>
      <c r="H43" s="2" t="inlineStr"/>
    </row>
    <row r="44">
      <c r="A44" s="2" t="inlineStr">
        <is>
          <t>RA-043</t>
        </is>
      </c>
      <c r="B44" s="2" t="inlineStr">
        <is>
          <t>DRIVER</t>
        </is>
      </c>
      <c r="C44" s="2" t="inlineStr">
        <is>
          <t>View Assignment</t>
        </is>
      </c>
      <c r="D44" s="2" t="inlineStr">
        <is>
          <t>GET /api/drivers/me/assignment</t>
        </is>
      </c>
      <c r="E44" s="2" t="inlineStr">
        <is>
          <t>Current assignment shown</t>
        </is>
      </c>
      <c r="F44" s="2" t="inlineStr"/>
      <c r="G44" s="2" t="inlineStr"/>
      <c r="H44" s="2" t="inlineStr"/>
    </row>
    <row r="45">
      <c r="A45" s="2" t="inlineStr">
        <is>
          <t>RA-044</t>
        </is>
      </c>
      <c r="B45" s="2" t="inlineStr">
        <is>
          <t>DRIVER</t>
        </is>
      </c>
      <c r="C45" s="2" t="inlineStr">
        <is>
          <t>Vehicle Inventory</t>
        </is>
      </c>
      <c r="D45" s="2" t="inlineStr">
        <is>
          <t>GET /api/drivers/me/vehicle-inventory</t>
        </is>
      </c>
      <c r="E45" s="2" t="inlineStr">
        <is>
          <t>Stock on vehicle</t>
        </is>
      </c>
      <c r="F45" s="2" t="inlineStr"/>
      <c r="G45" s="2" t="inlineStr"/>
      <c r="H45" s="2" t="inlineStr"/>
    </row>
    <row r="46">
      <c r="A46" s="2" t="inlineStr">
        <is>
          <t>RA-045</t>
        </is>
      </c>
      <c r="B46" s="2" t="inlineStr">
        <is>
          <t>DRIVER</t>
        </is>
      </c>
      <c r="C46" s="2" t="inlineStr">
        <is>
          <t>Confirm Delivery</t>
        </is>
      </c>
      <c r="D46" s="2" t="inlineStr">
        <is>
          <t>POST confirm-delivery</t>
        </is>
      </c>
      <c r="E46" s="2" t="inlineStr">
        <is>
          <t>Can confirm</t>
        </is>
      </c>
      <c r="F46" s="2" t="inlineStr"/>
      <c r="G46" s="2" t="inlineStr"/>
      <c r="H46" s="2" t="inlineStr"/>
    </row>
    <row r="47">
      <c r="A47" s="2" t="inlineStr">
        <is>
          <t>RA-046</t>
        </is>
      </c>
      <c r="B47" s="2" t="inlineStr">
        <is>
          <t>DRIVER</t>
        </is>
      </c>
      <c r="C47" s="2" t="inlineStr">
        <is>
          <t>Admin Pages (DENIED)</t>
        </is>
      </c>
      <c r="D47" s="2" t="inlineStr">
        <is>
          <t>/app/customers, /app/settings</t>
        </is>
      </c>
      <c r="E47" s="2" t="inlineStr">
        <is>
          <t>All denied</t>
        </is>
      </c>
      <c r="F47" s="2" t="inlineStr"/>
      <c r="G47" s="2" t="inlineStr"/>
      <c r="H47" s="2" t="inlineStr"/>
    </row>
    <row r="48">
      <c r="A48" s="2" t="inlineStr">
        <is>
          <t>RA-047</t>
        </is>
      </c>
      <c r="B48" s="2" t="inlineStr">
        <is>
          <t>CUSTOMER</t>
        </is>
      </c>
      <c r="C48" s="2" t="inlineStr">
        <is>
          <t>Login</t>
        </is>
      </c>
      <c r="D48" s="2" t="inlineStr">
        <is>
          <t>Login as customer</t>
        </is>
      </c>
      <c r="E48" s="2" t="inlineStr">
        <is>
          <t>Customer portal shown</t>
        </is>
      </c>
      <c r="F48" s="2" t="inlineStr"/>
      <c r="G48" s="2" t="inlineStr"/>
      <c r="H48" s="2" t="inlineStr"/>
    </row>
    <row r="49">
      <c r="A49" s="2" t="inlineStr">
        <is>
          <t>RA-048</t>
        </is>
      </c>
      <c r="B49" s="2" t="inlineStr">
        <is>
          <t>CUSTOMER</t>
        </is>
      </c>
      <c r="C49" s="2" t="inlineStr">
        <is>
          <t>Dashboard</t>
        </is>
      </c>
      <c r="D49" s="2" t="inlineStr">
        <is>
          <t>/app/customer/dashboard</t>
        </is>
      </c>
      <c r="E49" s="2" t="inlineStr">
        <is>
          <t>KPIs visible</t>
        </is>
      </c>
      <c r="F49" s="2" t="inlineStr"/>
      <c r="G49" s="2" t="inlineStr"/>
      <c r="H49" s="2" t="inlineStr"/>
    </row>
    <row r="50">
      <c r="A50" s="2" t="inlineStr">
        <is>
          <t>RA-049</t>
        </is>
      </c>
      <c r="B50" s="2" t="inlineStr">
        <is>
          <t>CUSTOMER</t>
        </is>
      </c>
      <c r="C50" s="2" t="inlineStr">
        <is>
          <t>Place Order</t>
        </is>
      </c>
      <c r="D50" s="2" t="inlineStr">
        <is>
          <t>/app/customer/orders</t>
        </is>
      </c>
      <c r="E50" s="2" t="inlineStr">
        <is>
          <t>Can place order</t>
        </is>
      </c>
      <c r="F50" s="2" t="inlineStr"/>
      <c r="G50" s="2" t="inlineStr"/>
      <c r="H50" s="2" t="inlineStr"/>
    </row>
    <row r="51">
      <c r="A51" s="2" t="inlineStr">
        <is>
          <t>RA-050</t>
        </is>
      </c>
      <c r="B51" s="2" t="inlineStr">
        <is>
          <t>CUSTOMER</t>
        </is>
      </c>
      <c r="C51" s="2" t="inlineStr">
        <is>
          <t>View Invoices</t>
        </is>
      </c>
      <c r="D51" s="2" t="inlineStr">
        <is>
          <t>/app/customer/invoices</t>
        </is>
      </c>
      <c r="E51" s="2" t="inlineStr">
        <is>
          <t>Own invoices only</t>
        </is>
      </c>
      <c r="F51" s="2" t="inlineStr"/>
      <c r="G51" s="2" t="inlineStr"/>
      <c r="H51" s="2" t="inlineStr"/>
    </row>
    <row r="52">
      <c r="A52" s="2" t="inlineStr">
        <is>
          <t>RA-051</t>
        </is>
      </c>
      <c r="B52" s="2" t="inlineStr">
        <is>
          <t>CUSTOMER</t>
        </is>
      </c>
      <c r="C52" s="2" t="inlineStr">
        <is>
          <t>Admin Pages (DENIED)</t>
        </is>
      </c>
      <c r="D52" s="2" t="inlineStr">
        <is>
          <t>/app/orders, /app/inventory</t>
        </is>
      </c>
      <c r="E52" s="2" t="inlineStr">
        <is>
          <t>Denied/redirected</t>
        </is>
      </c>
      <c r="F52" s="2" t="inlineStr"/>
      <c r="G52" s="2" t="inlineStr"/>
      <c r="H52" s="2" t="inlineStr"/>
    </row>
    <row r="53">
      <c r="A53" s="2" t="inlineStr">
        <is>
          <t>RA-052</t>
        </is>
      </c>
      <c r="B53" s="2" t="inlineStr">
        <is>
          <t>CUSTOMER</t>
        </is>
      </c>
      <c r="C53" s="2" t="inlineStr">
        <is>
          <t>Other Customer Data</t>
        </is>
      </c>
      <c r="D53" s="2" t="inlineStr">
        <is>
          <t>API for other customer ID</t>
        </is>
      </c>
      <c r="E53" s="2" t="inlineStr">
        <is>
          <t>Forbidden</t>
        </is>
      </c>
      <c r="F53" s="2" t="inlineStr"/>
      <c r="G53" s="2" t="inlineStr"/>
      <c r="H53" s="2" t="inlineStr"/>
    </row>
    <row r="55">
      <c r="A55" s="3" t="inlineStr">
        <is>
          <t>Total Tests</t>
        </is>
      </c>
      <c r="B55" s="4">
        <f>COUNTA(F2:F54)</f>
        <v/>
      </c>
    </row>
    <row r="56">
      <c r="A56" s="3" t="inlineStr">
        <is>
          <t>PASS</t>
        </is>
      </c>
      <c r="B56" s="4">
        <f>COUNTIF(F2:F54,"PASS")</f>
        <v/>
      </c>
    </row>
    <row r="57">
      <c r="A57" s="3" t="inlineStr">
        <is>
          <t>FAIL</t>
        </is>
      </c>
      <c r="B57" s="4">
        <f>COUNTIF(F2:F54,"FAIL")</f>
        <v/>
      </c>
    </row>
    <row r="58">
      <c r="A58" s="3" t="inlineStr">
        <is>
          <t>BLOCKED</t>
        </is>
      </c>
      <c r="B58" s="4">
        <f>COUNTIF(F2:F54,"BLOCKED")</f>
        <v/>
      </c>
    </row>
    <row r="59">
      <c r="A59" s="3" t="inlineStr">
        <is>
          <t>SKIPPED</t>
        </is>
      </c>
      <c r="B59" s="4">
        <f>COUNTIF(F2:F54,"SKIPPED")</f>
        <v/>
      </c>
    </row>
    <row r="60">
      <c r="A60" s="3" t="inlineStr">
        <is>
          <t>NOT TESTED</t>
        </is>
      </c>
      <c r="B60" s="4">
        <f>COUNTIF(F2:F54,"NOT TESTED")</f>
        <v/>
      </c>
    </row>
    <row r="61">
      <c r="A61" s="3" t="inlineStr">
        <is>
          <t>Pass Rate</t>
        </is>
      </c>
      <c r="B61" s="5">
        <f>IF(B56&gt;0,B56/B55,0)</f>
        <v/>
      </c>
    </row>
  </sheetData>
  <conditionalFormatting sqref="F2:F62">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"SKIPPED"</formula>
    </cfRule>
  </conditionalFormatting>
  <dataValidations count="1">
    <dataValidation sqref="F2 F3 F4 F5 F6 F7 F8 F9 F10 F11 F12 F13 F14 F15 F16 F17 F18 F19 F20 F21 F22 F23 F24 F25 F26 F27 F28 F29 F30 F31 F32 F33 F34 F35 F36 F37 F38 F39 F40 F41 F42 F43 F44 F45 F46 F47 F48 F49 F50 F51 F52 F53 G2 G3 G4 G5 G6 G7 G8 G9 G10 G11 G12 G13 G14 G15 G16 G17 G18 G19 G20 G21 G22 G23 G24 G25 G26 G27 G28 G29 G30 G31 G32 G33 G34 G35 G36 G37 G38 G39 G40 G41 G42 G43 G44 G45 G46 G47 G48" showDropDown="0" showInputMessage="0" showErrorMessage="0" allowBlank="1" type="list">
      <formula1>"PASS,FAIL,BLOCKED,SKIPPED,NOT TESTED"</formula1>
    </dataValidation>
  </dataValidations>
  <pageMargins left="0.75" right="0.75" top="1" bottom="1" header="0.5" footer="0.5"/>
</worksheet>
</file>

<file path=xl/worksheets/sheet3.xml><?xml version="1.0" encoding="utf-8"?>
<worksheet xmlns="http://schemas.openxmlformats.org/spreadsheetml/2006/main">
  <sheetPr>
    <tabColor rgb="001F4E79"/>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25" customWidth="1" min="3" max="3"/>
    <col width="40" customWidth="1" min="4" max="4"/>
    <col width="30" customWidth="1" min="5" max="5"/>
    <col width="12" customWidth="1" min="6" max="6"/>
    <col width="30" customWidth="1" min="7" max="7"/>
    <col width="25" customWidth="1" min="8" max="8"/>
  </cols>
  <sheetData>
    <row r="1">
      <c r="A1" s="1" t="inlineStr">
        <is>
          <t>Test ID</t>
        </is>
      </c>
      <c r="B1" s="1" t="inlineStr">
        <is>
          <t>Test Case</t>
        </is>
      </c>
      <c r="C1" s="1" t="inlineStr">
        <is>
          <t>Precondition</t>
        </is>
      </c>
      <c r="D1" s="1" t="inlineStr">
        <is>
          <t>Steps</t>
        </is>
      </c>
      <c r="E1" s="1" t="inlineStr">
        <is>
          <t>Expected Result</t>
        </is>
      </c>
      <c r="F1" s="1" t="inlineStr">
        <is>
          <t>Pass/Fail</t>
        </is>
      </c>
      <c r="G1" s="1" t="inlineStr">
        <is>
          <t>Actual Result</t>
        </is>
      </c>
      <c r="H1" s="1" t="inlineStr">
        <is>
          <t>Notes</t>
        </is>
      </c>
    </row>
    <row r="2">
      <c r="A2" s="2" t="inlineStr">
        <is>
          <t>FO-001</t>
        </is>
      </c>
      <c r="B2" s="2" t="inlineStr">
        <is>
          <t>Create order - single item</t>
        </is>
      </c>
      <c r="C2" s="2" t="inlineStr">
        <is>
          <t>Admin, customers exist</t>
        </is>
      </c>
      <c r="D2" s="2" t="inlineStr">
        <is>
          <t>Create Order &gt; Customer &gt; Tomorrow &gt; 19KG x 5 &gt; Submit</t>
        </is>
      </c>
      <c r="E2" s="2" t="inlineStr">
        <is>
          <t>Status=pending_driver_assignment</t>
        </is>
      </c>
      <c r="F2" s="2" t="inlineStr"/>
      <c r="G2" s="2" t="inlineStr"/>
      <c r="H2" s="2" t="inlineStr"/>
    </row>
    <row r="3">
      <c r="A3" s="2" t="inlineStr">
        <is>
          <t>FO-002</t>
        </is>
      </c>
      <c r="B3" s="2" t="inlineStr">
        <is>
          <t>Create order - multiple items</t>
        </is>
      </c>
      <c r="C3" s="2" t="inlineStr">
        <is>
          <t>Admin</t>
        </is>
      </c>
      <c r="D3" s="2" t="inlineStr">
        <is>
          <t>Create &gt; 19KG x 3 + 47.5KG x 2 &gt; Submit</t>
        </is>
      </c>
      <c r="E3" s="2" t="inlineStr">
        <is>
          <t>2 line items, total correct</t>
        </is>
      </c>
      <c r="F3" s="2" t="inlineStr"/>
      <c r="G3" s="2" t="inlineStr"/>
      <c r="H3" s="2" t="inlineStr"/>
    </row>
    <row r="4">
      <c r="A4" s="2" t="inlineStr">
        <is>
          <t>FO-003</t>
        </is>
      </c>
      <c r="B4" s="2" t="inlineStr">
        <is>
          <t>Create order - no customer</t>
        </is>
      </c>
      <c r="C4" s="2" t="inlineStr">
        <is>
          <t>Admin</t>
        </is>
      </c>
      <c r="D4" s="2" t="inlineStr">
        <is>
          <t>Create &gt; Skip customer &gt; Submit</t>
        </is>
      </c>
      <c r="E4" s="2" t="inlineStr">
        <is>
          <t>Validation: customer required</t>
        </is>
      </c>
      <c r="F4" s="2" t="inlineStr"/>
      <c r="G4" s="2" t="inlineStr"/>
      <c r="H4" s="2" t="inlineStr"/>
    </row>
    <row r="5">
      <c r="A5" s="2" t="inlineStr">
        <is>
          <t>FO-004</t>
        </is>
      </c>
      <c r="B5" s="2" t="inlineStr">
        <is>
          <t>Create order - no items</t>
        </is>
      </c>
      <c r="C5" s="2" t="inlineStr">
        <is>
          <t>Admin</t>
        </is>
      </c>
      <c r="D5" s="2" t="inlineStr">
        <is>
          <t>Create &gt; Customer &gt; Submit empty</t>
        </is>
      </c>
      <c r="E5" s="2" t="inlineStr">
        <is>
          <t>Validation: items required</t>
        </is>
      </c>
      <c r="F5" s="2" t="inlineStr"/>
      <c r="G5" s="2" t="inlineStr"/>
      <c r="H5" s="2" t="inlineStr"/>
    </row>
    <row r="6">
      <c r="A6" s="2" t="inlineStr">
        <is>
          <t>FO-005</t>
        </is>
      </c>
      <c r="B6" s="2" t="inlineStr">
        <is>
          <t>Create order - past date</t>
        </is>
      </c>
      <c r="C6" s="2" t="inlineStr">
        <is>
          <t>Admin</t>
        </is>
      </c>
      <c r="D6" s="2" t="inlineStr">
        <is>
          <t>Create &gt; Yesterday date &gt; Submit</t>
        </is>
      </c>
      <c r="E6" s="2" t="inlineStr">
        <is>
          <t>Validation: past date</t>
        </is>
      </c>
      <c r="F6" s="2" t="inlineStr"/>
      <c r="G6" s="2" t="inlineStr"/>
      <c r="H6" s="2" t="inlineStr"/>
    </row>
    <row r="7">
      <c r="A7" s="2" t="inlineStr">
        <is>
          <t>FO-006</t>
        </is>
      </c>
      <c r="B7" s="2" t="inlineStr">
        <is>
          <t>Create order - stopped customer</t>
        </is>
      </c>
      <c r="C7" s="2" t="inlineStr">
        <is>
          <t>Supply stopped</t>
        </is>
      </c>
      <c r="D7" s="2" t="inlineStr">
        <is>
          <t>Create for stopped customer</t>
        </is>
      </c>
      <c r="E7" s="2" t="inlineStr">
        <is>
          <t>Error: supply stopped</t>
        </is>
      </c>
      <c r="F7" s="2" t="inlineStr"/>
      <c r="G7" s="2" t="inlineStr"/>
      <c r="H7" s="2" t="inlineStr"/>
    </row>
    <row r="8">
      <c r="A8" s="2" t="inlineStr">
        <is>
          <t>FO-007</t>
        </is>
      </c>
      <c r="B8" s="2" t="inlineStr">
        <is>
          <t>Edit order - change date</t>
        </is>
      </c>
      <c r="C8" s="2" t="inlineStr">
        <is>
          <t>Pending order</t>
        </is>
      </c>
      <c r="D8" s="2" t="inlineStr">
        <is>
          <t>Edit &gt; Change date &gt; Save</t>
        </is>
      </c>
      <c r="E8" s="2" t="inlineStr">
        <is>
          <t>Date updated</t>
        </is>
      </c>
      <c r="F8" s="2" t="inlineStr"/>
      <c r="G8" s="2" t="inlineStr"/>
      <c r="H8" s="2" t="inlineStr"/>
    </row>
    <row r="9">
      <c r="A9" s="2" t="inlineStr">
        <is>
          <t>FO-008</t>
        </is>
      </c>
      <c r="B9" s="2" t="inlineStr">
        <is>
          <t>Edit order - modify items</t>
        </is>
      </c>
      <c r="C9" s="2" t="inlineStr">
        <is>
          <t>Pending order</t>
        </is>
      </c>
      <c r="D9" s="2" t="inlineStr">
        <is>
          <t>Edit &gt; Add/remove items &gt; Save</t>
        </is>
      </c>
      <c r="E9" s="2" t="inlineStr">
        <is>
          <t>Items updated, total recalculated</t>
        </is>
      </c>
      <c r="F9" s="2" t="inlineStr"/>
      <c r="G9" s="2" t="inlineStr"/>
      <c r="H9" s="2" t="inlineStr"/>
    </row>
    <row r="10">
      <c r="A10" s="2" t="inlineStr">
        <is>
          <t>FO-009</t>
        </is>
      </c>
      <c r="B10" s="2" t="inlineStr">
        <is>
          <t>Edit delivered order</t>
        </is>
      </c>
      <c r="C10" s="2" t="inlineStr">
        <is>
          <t>Delivered order</t>
        </is>
      </c>
      <c r="D10" s="2" t="inlineStr">
        <is>
          <t>Try to edit</t>
        </is>
      </c>
      <c r="E10" s="2" t="inlineStr">
        <is>
          <t>Edit hidden/disabled</t>
        </is>
      </c>
      <c r="F10" s="2" t="inlineStr"/>
      <c r="G10" s="2" t="inlineStr"/>
      <c r="H10" s="2" t="inlineStr"/>
    </row>
    <row r="11">
      <c r="A11" s="2" t="inlineStr">
        <is>
          <t>FO-010</t>
        </is>
      </c>
      <c r="B11" s="2" t="inlineStr">
        <is>
          <t>Assign driver</t>
        </is>
      </c>
      <c r="C11" s="2" t="inlineStr">
        <is>
          <t>Pending_driver_assignment</t>
        </is>
      </c>
      <c r="D11" s="2" t="inlineStr">
        <is>
          <t>Assign &gt; Driver + Vehicle &gt; Confirm</t>
        </is>
      </c>
      <c r="E11" s="2" t="inlineStr">
        <is>
          <t>Status=pending_dispatch</t>
        </is>
      </c>
      <c r="F11" s="2" t="inlineStr"/>
      <c r="G11" s="2" t="inlineStr"/>
      <c r="H11" s="2" t="inlineStr"/>
    </row>
    <row r="12">
      <c r="A12" s="2" t="inlineStr">
        <is>
          <t>FO-011</t>
        </is>
      </c>
      <c r="B12" s="2" t="inlineStr">
        <is>
          <t>Bulk assign driver</t>
        </is>
      </c>
      <c r="C12" s="2" t="inlineStr">
        <is>
          <t>3+ pending orders</t>
        </is>
      </c>
      <c r="D12" s="2" t="inlineStr">
        <is>
          <t>Select &gt; Bulk Assign &gt; Driver+Vehicle</t>
        </is>
      </c>
      <c r="E12" s="2" t="inlineStr">
        <is>
          <t>All assigned</t>
        </is>
      </c>
      <c r="F12" s="2" t="inlineStr"/>
      <c r="G12" s="2" t="inlineStr"/>
      <c r="H12" s="2" t="inlineStr"/>
    </row>
    <row r="13">
      <c r="A13" s="2" t="inlineStr">
        <is>
          <t>FO-012</t>
        </is>
      </c>
      <c r="B13" s="2" t="inlineStr">
        <is>
          <t>Cancel before dispatch</t>
        </is>
      </c>
      <c r="C13" s="2" t="inlineStr">
        <is>
          <t>Pending order</t>
        </is>
      </c>
      <c r="D13" s="2" t="inlineStr">
        <is>
          <t>Cancel &gt; Confirm</t>
        </is>
      </c>
      <c r="E13" s="2" t="inlineStr">
        <is>
          <t>Cancelled, no invoice</t>
        </is>
      </c>
      <c r="F13" s="2" t="inlineStr"/>
      <c r="G13" s="2" t="inlineStr"/>
      <c r="H13" s="2" t="inlineStr"/>
    </row>
    <row r="14">
      <c r="A14" s="2" t="inlineStr">
        <is>
          <t>FO-013</t>
        </is>
      </c>
      <c r="B14" s="2" t="inlineStr">
        <is>
          <t>Cancel after dispatch</t>
        </is>
      </c>
      <c r="C14" s="2" t="inlineStr">
        <is>
          <t>Dispatched order</t>
        </is>
      </c>
      <c r="D14" s="2" t="inlineStr">
        <is>
          <t>Cancel &gt; Confirm</t>
        </is>
      </c>
      <c r="E14" s="2" t="inlineStr">
        <is>
          <t>Cancelled</t>
        </is>
      </c>
      <c r="F14" s="2" t="inlineStr"/>
      <c r="G14" s="2" t="inlineStr"/>
      <c r="H14" s="2" t="inlineStr"/>
    </row>
    <row r="15">
      <c r="A15" s="2" t="inlineStr">
        <is>
          <t>FO-014</t>
        </is>
      </c>
      <c r="B15" s="2" t="inlineStr">
        <is>
          <t>Delivery - full qty</t>
        </is>
      </c>
      <c r="C15" s="2" t="inlineStr">
        <is>
          <t>Pending delivery</t>
        </is>
      </c>
      <c r="D15" s="2" t="inlineStr">
        <is>
          <t>Confirm &gt; Full qty + empties &gt; Submit</t>
        </is>
      </c>
      <c r="E15" s="2" t="inlineStr">
        <is>
          <t>Delivered, invoice created</t>
        </is>
      </c>
      <c r="F15" s="2" t="inlineStr"/>
      <c r="G15" s="2" t="inlineStr"/>
      <c r="H15" s="2" t="inlineStr"/>
    </row>
    <row r="16">
      <c r="A16" s="2" t="inlineStr">
        <is>
          <t>FO-015</t>
        </is>
      </c>
      <c r="B16" s="2" t="inlineStr">
        <is>
          <t>Delivery - partial qty</t>
        </is>
      </c>
      <c r="C16" s="2" t="inlineStr">
        <is>
          <t>Order 10 units</t>
        </is>
      </c>
      <c r="D16" s="2" t="inlineStr">
        <is>
          <t>Confirm &gt; Deliver 7 &gt; Submit</t>
        </is>
      </c>
      <c r="E16" s="2" t="inlineStr">
        <is>
          <t>Modified_delivered, cancelled=3</t>
        </is>
      </c>
      <c r="F16" s="2" t="inlineStr"/>
      <c r="G16" s="2" t="inlineStr"/>
      <c r="H16" s="2" t="inlineStr"/>
    </row>
    <row r="17">
      <c r="A17" s="2" t="inlineStr">
        <is>
          <t>FO-016</t>
        </is>
      </c>
      <c r="B17" s="2" t="inlineStr">
        <is>
          <t>Delivery - with empties</t>
        </is>
      </c>
      <c r="C17" s="2" t="inlineStr">
        <is>
          <t>Pending delivery</t>
        </is>
      </c>
      <c r="D17" s="2" t="inlineStr">
        <is>
          <t>Confirm &gt; Qty + 5 empties &gt; Submit</t>
        </is>
      </c>
      <c r="E17" s="2" t="inlineStr">
        <is>
          <t>Balance updated</t>
        </is>
      </c>
      <c r="F17" s="2" t="inlineStr"/>
      <c r="G17" s="2" t="inlineStr"/>
      <c r="H17" s="2" t="inlineStr"/>
    </row>
    <row r="18">
      <c r="A18" s="2" t="inlineStr">
        <is>
          <t>FO-017</t>
        </is>
      </c>
      <c r="B18" s="2" t="inlineStr">
        <is>
          <t>Returns-only order</t>
        </is>
      </c>
      <c r="C18" s="2" t="inlineStr">
        <is>
          <t>Admin</t>
        </is>
      </c>
      <c r="D18" s="2" t="inlineStr">
        <is>
          <t>Returns Order &gt; Customer &gt; Type &gt; Qty</t>
        </is>
      </c>
      <c r="E18" s="2" t="inlineStr">
        <is>
          <t>Returns order created</t>
        </is>
      </c>
      <c r="F18" s="2" t="inlineStr"/>
      <c r="G18" s="2" t="inlineStr"/>
      <c r="H18" s="2" t="inlineStr"/>
    </row>
    <row r="19">
      <c r="A19" s="2" t="inlineStr">
        <is>
          <t>FO-018</t>
        </is>
      </c>
      <c r="B19" s="2" t="inlineStr">
        <is>
          <t>Confirm returns</t>
        </is>
      </c>
      <c r="C19" s="2" t="inlineStr">
        <is>
          <t>Returns order</t>
        </is>
      </c>
      <c r="D19" s="2" t="inlineStr">
        <is>
          <t>Confirm Returns &gt; Collected qty</t>
        </is>
      </c>
      <c r="E19" s="2" t="inlineStr">
        <is>
          <t>Balance updated, no invoice</t>
        </is>
      </c>
      <c r="F19" s="2" t="inlineStr"/>
      <c r="G19" s="2" t="inlineStr"/>
      <c r="H19" s="2" t="inlineStr"/>
    </row>
    <row r="20">
      <c r="A20" s="2" t="inlineStr">
        <is>
          <t>FO-019</t>
        </is>
      </c>
      <c r="B20" s="2" t="inlineStr">
        <is>
          <t>Filter by status</t>
        </is>
      </c>
      <c r="C20" s="2" t="inlineStr">
        <is>
          <t>Various orders</t>
        </is>
      </c>
      <c r="D20" s="2" t="inlineStr">
        <is>
          <t>Status dropdown &gt; pending_delivery</t>
        </is>
      </c>
      <c r="E20" s="2" t="inlineStr">
        <is>
          <t>Filtered</t>
        </is>
      </c>
      <c r="F20" s="2" t="inlineStr"/>
      <c r="G20" s="2" t="inlineStr"/>
      <c r="H20" s="2" t="inlineStr"/>
    </row>
    <row r="21">
      <c r="A21" s="2" t="inlineStr">
        <is>
          <t>FO-020</t>
        </is>
      </c>
      <c r="B21" s="2" t="inlineStr">
        <is>
          <t>Filter by date range</t>
        </is>
      </c>
      <c r="C21" s="2" t="inlineStr">
        <is>
          <t>Various dates</t>
        </is>
      </c>
      <c r="D21" s="2" t="inlineStr">
        <is>
          <t>Set range &gt; Apply</t>
        </is>
      </c>
      <c r="E21" s="2" t="inlineStr">
        <is>
          <t>Filtered</t>
        </is>
      </c>
      <c r="F21" s="2" t="inlineStr"/>
      <c r="G21" s="2" t="inlineStr"/>
      <c r="H21" s="2" t="inlineStr"/>
    </row>
    <row r="22">
      <c r="A22" s="2" t="inlineStr">
        <is>
          <t>FO-021</t>
        </is>
      </c>
      <c r="B22" s="2" t="inlineStr">
        <is>
          <t>Pagination</t>
        </is>
      </c>
      <c r="C22" s="2" t="inlineStr">
        <is>
          <t>26+ orders</t>
        </is>
      </c>
      <c r="D22" s="2" t="inlineStr">
        <is>
          <t>Go to page 2</t>
        </is>
      </c>
      <c r="E22" s="2" t="inlineStr">
        <is>
          <t>25/page works</t>
        </is>
      </c>
      <c r="F22" s="2" t="inlineStr"/>
      <c r="G22" s="2" t="inlineStr"/>
      <c r="H22" s="2" t="inlineStr"/>
    </row>
    <row r="23">
      <c r="A23" s="2" t="inlineStr">
        <is>
          <t>FO-022</t>
        </is>
      </c>
      <c r="B23" s="2" t="inlineStr">
        <is>
          <t>Search by keyword</t>
        </is>
      </c>
      <c r="C23" s="2" t="inlineStr">
        <is>
          <t>Known order#</t>
        </is>
      </c>
      <c r="D23" s="2" t="inlineStr">
        <is>
          <t>Type in search</t>
        </is>
      </c>
      <c r="E23" s="2" t="inlineStr">
        <is>
          <t>Match found</t>
        </is>
      </c>
      <c r="F23" s="2" t="inlineStr"/>
      <c r="G23" s="2" t="inlineStr"/>
      <c r="H23" s="2" t="inlineStr"/>
    </row>
    <row r="25">
      <c r="A25" s="3" t="inlineStr">
        <is>
          <t>Total Tests</t>
        </is>
      </c>
      <c r="B25" s="4">
        <f>COUNTA(F2:F24)</f>
        <v/>
      </c>
    </row>
    <row r="26">
      <c r="A26" s="3" t="inlineStr">
        <is>
          <t>PASS</t>
        </is>
      </c>
      <c r="B26" s="4">
        <f>COUNTIF(F2:F24,"PASS")</f>
        <v/>
      </c>
    </row>
    <row r="27">
      <c r="A27" s="3" t="inlineStr">
        <is>
          <t>FAIL</t>
        </is>
      </c>
      <c r="B27" s="4">
        <f>COUNTIF(F2:F24,"FAIL")</f>
        <v/>
      </c>
    </row>
    <row r="28">
      <c r="A28" s="3" t="inlineStr">
        <is>
          <t>BLOCKED</t>
        </is>
      </c>
      <c r="B28" s="4">
        <f>COUNTIF(F2:F24,"BLOCKED")</f>
        <v/>
      </c>
    </row>
    <row r="29">
      <c r="A29" s="3" t="inlineStr">
        <is>
          <t>SKIPPED</t>
        </is>
      </c>
      <c r="B29" s="4">
        <f>COUNTIF(F2:F24,"SKIPPED")</f>
        <v/>
      </c>
    </row>
    <row r="30">
      <c r="A30" s="3" t="inlineStr">
        <is>
          <t>NOT TESTED</t>
        </is>
      </c>
      <c r="B30" s="4">
        <f>COUNTIF(F2:F24,"NOT TESTED")</f>
        <v/>
      </c>
    </row>
    <row r="31">
      <c r="A31" s="3" t="inlineStr">
        <is>
          <t>Pass Rate</t>
        </is>
      </c>
      <c r="B31" s="5">
        <f>IF(B26&gt;0,B26/B25,0)</f>
        <v/>
      </c>
    </row>
  </sheetData>
  <conditionalFormatting sqref="F2:F32">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"SKIPPED"</formula>
    </cfRule>
  </conditionalFormatting>
  <dataValidations count="1">
    <dataValidation sqref="F2 F3 F4 F5 F6 F7 F8 F9 F10 F11 F12 F13 F14 F15 F16 F17 F18 F19 F20 F21 F22 F23 F24 F25 F26 F27 F28 F29 F30 F31 F32 F33 F34 F35 F36 F37 F38 F39 F40 F41 F42 F43 F44 F45 F46 F47 F48 F49 F50 F51 F52 F53 G2 G3 G4 G5 G6 G7 G8 G9 G10 G11 G12 G13 G14 G15 G16 G17 G18 G19 G20 G21 G22 G23 G24 G25 G26 G27 G28 G29 G30 G31 G32 G33 G34 G35 G36 G37 G38 G39 G40 G41 G42 G43 G44 G45 G46 G47 G48" showDropDown="0" showInputMessage="0" showErrorMessage="0" allowBlank="1" type="list">
      <formula1>"PASS,FAIL,BLOCKED,SKIPPED,NOT TESTED"</formula1>
    </dataValidation>
  </dataValidations>
  <pageMargins left="0.75" right="0.75" top="1" bottom="1" header="0.5" footer="0.5"/>
</worksheet>
</file>

<file path=xl/worksheets/sheet4.xml><?xml version="1.0" encoding="utf-8"?>
<worksheet xmlns="http://schemas.openxmlformats.org/spreadsheetml/2006/main">
  <sheetPr>
    <tabColor rgb="001F4E79"/>
    <outlinePr summaryBelow="1" summaryRight="1"/>
    <pageSetUpPr/>
  </sheetPr>
  <dimension ref="A1:H27"/>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25" customWidth="1" min="3" max="3"/>
    <col width="40" customWidth="1" min="4" max="4"/>
    <col width="30" customWidth="1" min="5" max="5"/>
    <col width="12" customWidth="1" min="6" max="6"/>
    <col width="30" customWidth="1" min="7" max="7"/>
    <col width="25" customWidth="1" min="8" max="8"/>
  </cols>
  <sheetData>
    <row r="1">
      <c r="A1" s="1" t="inlineStr">
        <is>
          <t>Test ID</t>
        </is>
      </c>
      <c r="B1" s="1" t="inlineStr">
        <is>
          <t>Test Case</t>
        </is>
      </c>
      <c r="C1" s="1" t="inlineStr">
        <is>
          <t>Precondition</t>
        </is>
      </c>
      <c r="D1" s="1" t="inlineStr">
        <is>
          <t>Steps</t>
        </is>
      </c>
      <c r="E1" s="1" t="inlineStr">
        <is>
          <t>Expected Result</t>
        </is>
      </c>
      <c r="F1" s="1" t="inlineStr">
        <is>
          <t>Pass/Fail</t>
        </is>
      </c>
      <c r="G1" s="1" t="inlineStr">
        <is>
          <t>Actual Result</t>
        </is>
      </c>
      <c r="H1" s="1" t="inlineStr">
        <is>
          <t>Notes</t>
        </is>
      </c>
    </row>
    <row r="2">
      <c r="A2" s="2" t="inlineStr">
        <is>
          <t>FI-001</t>
        </is>
      </c>
      <c r="B2" s="2" t="inlineStr">
        <is>
          <t>View daily summary</t>
        </is>
      </c>
      <c r="C2" s="2" t="inlineStr">
        <is>
          <t>Inventory/Admin</t>
        </is>
      </c>
      <c r="D2" s="2" t="inlineStr">
        <is>
          <t>Inventory &gt; Daily Summary</t>
        </is>
      </c>
      <c r="E2" s="2" t="inlineStr">
        <is>
          <t>All cylinder types with balances</t>
        </is>
      </c>
      <c r="F2" s="2" t="inlineStr"/>
      <c r="G2" s="2" t="inlineStr"/>
      <c r="H2" s="2" t="inlineStr"/>
    </row>
    <row r="3">
      <c r="A3" s="2" t="inlineStr">
        <is>
          <t>FI-002</t>
        </is>
      </c>
      <c r="B3" s="2" t="inlineStr">
        <is>
          <t>Navigate dates</t>
        </is>
      </c>
      <c r="C3" s="2" t="inlineStr">
        <is>
          <t>On summary</t>
        </is>
      </c>
      <c r="D3" s="2" t="inlineStr">
        <is>
          <t>Prev/Next/Today buttons</t>
        </is>
      </c>
      <c r="E3" s="2" t="inlineStr">
        <is>
          <t>Date changes, data refreshes</t>
        </is>
      </c>
      <c r="F3" s="2" t="inlineStr"/>
      <c r="G3" s="2" t="inlineStr"/>
      <c r="H3" s="2" t="inlineStr"/>
    </row>
    <row r="4">
      <c r="A4" s="2" t="inlineStr">
        <is>
          <t>FI-003</t>
        </is>
      </c>
      <c r="B4" s="2" t="inlineStr">
        <is>
          <t>Record incoming fulls</t>
        </is>
      </c>
      <c r="C4" s="2" t="inlineStr">
        <is>
          <t>Day unlocked</t>
        </is>
      </c>
      <c r="D4" s="2" t="inlineStr">
        <is>
          <t>+Incoming &gt; Qty=50, doc, vehicle &gt; Submit</t>
        </is>
      </c>
      <c r="E4" s="2" t="inlineStr">
        <is>
          <t>Balance increases</t>
        </is>
      </c>
      <c r="F4" s="2" t="inlineStr"/>
      <c r="G4" s="2" t="inlineStr"/>
      <c r="H4" s="2" t="inlineStr"/>
    </row>
    <row r="5">
      <c r="A5" s="2" t="inlineStr">
        <is>
          <t>FI-004</t>
        </is>
      </c>
      <c r="B5" s="2" t="inlineStr">
        <is>
          <t>Record outgoing empties</t>
        </is>
      </c>
      <c r="C5" s="2" t="inlineStr">
        <is>
          <t>Day unlocked</t>
        </is>
      </c>
      <c r="D5" s="2" t="inlineStr">
        <is>
          <t>+Outgoing &gt; Qty=30, doc &gt; Submit</t>
        </is>
      </c>
      <c r="E5" s="2" t="inlineStr">
        <is>
          <t>Recorded</t>
        </is>
      </c>
      <c r="F5" s="2" t="inlineStr"/>
      <c r="G5" s="2" t="inlineStr"/>
      <c r="H5" s="2" t="inlineStr"/>
    </row>
    <row r="6">
      <c r="A6" s="2" t="inlineStr">
        <is>
          <t>FI-005</t>
        </is>
      </c>
      <c r="B6" s="2" t="inlineStr">
        <is>
          <t>Manual adjustment</t>
        </is>
      </c>
      <c r="C6" s="2" t="inlineStr">
        <is>
          <t>Day unlocked</t>
        </is>
      </c>
      <c r="D6" s="2" t="inlineStr">
        <is>
          <t>Adjustment &gt; Type, qty, reason &gt; Submit</t>
        </is>
      </c>
      <c r="E6" s="2" t="inlineStr">
        <is>
          <t>Pending approval</t>
        </is>
      </c>
      <c r="F6" s="2" t="inlineStr"/>
      <c r="G6" s="2" t="inlineStr"/>
      <c r="H6" s="2" t="inlineStr"/>
    </row>
    <row r="7">
      <c r="A7" s="2" t="inlineStr">
        <is>
          <t>FI-006</t>
        </is>
      </c>
      <c r="B7" s="2" t="inlineStr">
        <is>
          <t>Lock day</t>
        </is>
      </c>
      <c r="C7" s="2" t="inlineStr">
        <is>
          <t>Admin, unlocked</t>
        </is>
      </c>
      <c r="D7" s="2" t="inlineStr">
        <is>
          <t>Lock &gt; Confirm</t>
        </is>
      </c>
      <c r="E7" s="2" t="inlineStr">
        <is>
          <t>Buttons disabled</t>
        </is>
      </c>
      <c r="F7" s="2" t="inlineStr"/>
      <c r="G7" s="2" t="inlineStr"/>
      <c r="H7" s="2" t="inlineStr"/>
    </row>
    <row r="8">
      <c r="A8" s="2" t="inlineStr">
        <is>
          <t>FI-007</t>
        </is>
      </c>
      <c r="B8" s="2" t="inlineStr">
        <is>
          <t>Unlock day</t>
        </is>
      </c>
      <c r="C8" s="2" t="inlineStr">
        <is>
          <t>Locked day</t>
        </is>
      </c>
      <c r="D8" s="2" t="inlineStr">
        <is>
          <t>Unlock &gt; Confirm</t>
        </is>
      </c>
      <c r="E8" s="2" t="inlineStr">
        <is>
          <t>Buttons re-enabled</t>
        </is>
      </c>
      <c r="F8" s="2" t="inlineStr"/>
      <c r="G8" s="2" t="inlineStr"/>
      <c r="H8" s="2" t="inlineStr"/>
    </row>
    <row r="9">
      <c r="A9" s="2" t="inlineStr">
        <is>
          <t>FI-008</t>
        </is>
      </c>
      <c r="B9" s="2" t="inlineStr">
        <is>
          <t>Add on locked day</t>
        </is>
      </c>
      <c r="C9" s="2" t="inlineStr">
        <is>
          <t>Day locked</t>
        </is>
      </c>
      <c r="D9" s="2" t="inlineStr">
        <is>
          <t>Try incoming fulls</t>
        </is>
      </c>
      <c r="E9" s="2" t="inlineStr">
        <is>
          <t>Blocked</t>
        </is>
      </c>
      <c r="F9" s="2" t="inlineStr"/>
      <c r="G9" s="2" t="inlineStr"/>
      <c r="H9" s="2" t="inlineStr"/>
    </row>
    <row r="10">
      <c r="A10" s="2" t="inlineStr">
        <is>
          <t>FI-009</t>
        </is>
      </c>
      <c r="B10" s="2" t="inlineStr">
        <is>
          <t>Depot history</t>
        </is>
      </c>
      <c r="C10" s="2" t="inlineStr">
        <is>
          <t>Movements exist</t>
        </is>
      </c>
      <c r="D10" s="2" t="inlineStr">
        <is>
          <t>Depot History &gt; Filters</t>
        </is>
      </c>
      <c r="E10" s="2" t="inlineStr">
        <is>
          <t>Filtered history</t>
        </is>
      </c>
      <c r="F10" s="2" t="inlineStr"/>
      <c r="G10" s="2" t="inlineStr"/>
      <c r="H10" s="2" t="inlineStr"/>
    </row>
    <row r="11">
      <c r="A11" s="2" t="inlineStr">
        <is>
          <t>FI-010</t>
        </is>
      </c>
      <c r="B11" s="2" t="inlineStr">
        <is>
          <t>View cancelled stock</t>
        </is>
      </c>
      <c r="C11" s="2" t="inlineStr">
        <is>
          <t>Partial deliveries</t>
        </is>
      </c>
      <c r="D11" s="2" t="inlineStr">
        <is>
          <t>Cancelled Stock tab</t>
        </is>
      </c>
      <c r="E11" s="2" t="inlineStr">
        <is>
          <t>Items with status</t>
        </is>
      </c>
      <c r="F11" s="2" t="inlineStr"/>
      <c r="G11" s="2" t="inlineStr"/>
      <c r="H11" s="2" t="inlineStr"/>
    </row>
    <row r="12">
      <c r="A12" s="2" t="inlineStr">
        <is>
          <t>FI-011</t>
        </is>
      </c>
      <c r="B12" s="2" t="inlineStr">
        <is>
          <t>Return cancelled stock</t>
        </is>
      </c>
      <c r="C12" s="2" t="inlineStr">
        <is>
          <t>Stock on vehicle</t>
        </is>
      </c>
      <c r="D12" s="2" t="inlineStr">
        <is>
          <t>Return &gt; Confirm</t>
        </is>
      </c>
      <c r="E12" s="2" t="inlineStr">
        <is>
          <t>returned_to_depot</t>
        </is>
      </c>
      <c r="F12" s="2" t="inlineStr"/>
      <c r="G12" s="2" t="inlineStr"/>
      <c r="H12" s="2" t="inlineStr"/>
    </row>
    <row r="13">
      <c r="A13" s="2" t="inlineStr">
        <is>
          <t>FI-012</t>
        </is>
      </c>
      <c r="B13" s="2" t="inlineStr">
        <is>
          <t>View forecast</t>
        </is>
      </c>
      <c r="C13" s="2" t="inlineStr">
        <is>
          <t>History exists</t>
        </is>
      </c>
      <c r="D13" s="2" t="inlineStr">
        <is>
          <t>Forecast tab</t>
        </is>
      </c>
      <c r="E13" s="2" t="inlineStr">
        <is>
          <t>Stock, demand, days remaining</t>
        </is>
      </c>
      <c r="F13" s="2" t="inlineStr"/>
      <c r="G13" s="2" t="inlineStr"/>
      <c r="H13" s="2" t="inlineStr"/>
    </row>
    <row r="14">
      <c r="A14" s="2" t="inlineStr">
        <is>
          <t>FI-013</t>
        </is>
      </c>
      <c r="B14" s="2" t="inlineStr">
        <is>
          <t>Customer balances</t>
        </is>
      </c>
      <c r="C14" s="2" t="inlineStr">
        <is>
          <t>Balances exist</t>
        </is>
      </c>
      <c r="D14" s="2" t="inlineStr">
        <is>
          <t>Customer Balances tab</t>
        </is>
      </c>
      <c r="E14" s="2" t="inlineStr">
        <is>
          <t>Table shown</t>
        </is>
      </c>
      <c r="F14" s="2" t="inlineStr"/>
      <c r="G14" s="2" t="inlineStr"/>
      <c r="H14" s="2" t="inlineStr"/>
    </row>
    <row r="15">
      <c r="A15" s="2" t="inlineStr">
        <is>
          <t>FI-014</t>
        </is>
      </c>
      <c r="B15" s="2" t="inlineStr">
        <is>
          <t>Reconciliation pending</t>
        </is>
      </c>
      <c r="C15" s="2" t="inlineStr">
        <is>
          <t>Vehicle returned</t>
        </is>
      </c>
      <c r="D15" s="2" t="inlineStr">
        <is>
          <t>Reconciliation tab</t>
        </is>
      </c>
      <c r="E15" s="2" t="inlineStr">
        <is>
          <t>Pending vehicles</t>
        </is>
      </c>
      <c r="F15" s="2" t="inlineStr"/>
      <c r="G15" s="2" t="inlineStr"/>
      <c r="H15" s="2" t="inlineStr"/>
    </row>
    <row r="16">
      <c r="A16" s="2" t="inlineStr">
        <is>
          <t>FI-015</t>
        </is>
      </c>
      <c r="B16" s="2" t="inlineStr">
        <is>
          <t>Reconcile - confirm</t>
        </is>
      </c>
      <c r="C16" s="2" t="inlineStr">
        <is>
          <t>Pending vehicle</t>
        </is>
      </c>
      <c r="D16" s="2" t="inlineStr">
        <is>
          <t>Confirm Stock Matches</t>
        </is>
      </c>
      <c r="E16" s="2" t="inlineStr">
        <is>
          <t>Reconciled</t>
        </is>
      </c>
      <c r="F16" s="2" t="inlineStr"/>
      <c r="G16" s="2" t="inlineStr"/>
      <c r="H16" s="2" t="inlineStr"/>
    </row>
    <row r="17">
      <c r="A17" s="2" t="inlineStr">
        <is>
          <t>FI-016</t>
        </is>
      </c>
      <c r="B17" s="2" t="inlineStr">
        <is>
          <t>Reconcile - mismatch</t>
        </is>
      </c>
      <c r="C17" s="2" t="inlineStr">
        <is>
          <t>Pending vehicle</t>
        </is>
      </c>
      <c r="D17" s="2" t="inlineStr">
        <is>
          <t>Report Mismatch</t>
        </is>
      </c>
      <c r="E17" s="2" t="inlineStr">
        <is>
          <t>Mismatch recorded</t>
        </is>
      </c>
      <c r="F17" s="2" t="inlineStr"/>
      <c r="G17" s="2" t="inlineStr"/>
      <c r="H17" s="2" t="inlineStr"/>
    </row>
    <row r="18">
      <c r="A18" s="2" t="inlineStr">
        <is>
          <t>FI-017</t>
        </is>
      </c>
      <c r="B18" s="2" t="inlineStr">
        <is>
          <t>Critical alert</t>
        </is>
      </c>
      <c r="C18" s="2" t="inlineStr">
        <is>
          <t>Stock &lt; critical</t>
        </is>
      </c>
      <c r="D18" s="2" t="inlineStr">
        <is>
          <t>View summary</t>
        </is>
      </c>
      <c r="E18" s="2" t="inlineStr">
        <is>
          <t>Critical badge</t>
        </is>
      </c>
      <c r="F18" s="2" t="inlineStr"/>
      <c r="G18" s="2" t="inlineStr"/>
      <c r="H18" s="2" t="inlineStr"/>
    </row>
    <row r="19">
      <c r="A19" s="2" t="inlineStr">
        <is>
          <t>FI-018</t>
        </is>
      </c>
      <c r="B19" s="2" t="inlineStr">
        <is>
          <t>Warning alert</t>
        </is>
      </c>
      <c r="C19" s="2" t="inlineStr">
        <is>
          <t>Stock &lt; warning</t>
        </is>
      </c>
      <c r="D19" s="2" t="inlineStr">
        <is>
          <t>View summary</t>
        </is>
      </c>
      <c r="E19" s="2" t="inlineStr">
        <is>
          <t>Warning badge</t>
        </is>
      </c>
      <c r="F19" s="2" t="inlineStr"/>
      <c r="G19" s="2" t="inlineStr"/>
      <c r="H19" s="2" t="inlineStr"/>
    </row>
    <row r="21">
      <c r="A21" s="3" t="inlineStr">
        <is>
          <t>Total Tests</t>
        </is>
      </c>
      <c r="B21" s="4">
        <f>COUNTA(F2:F20)</f>
        <v/>
      </c>
    </row>
    <row r="22">
      <c r="A22" s="3" t="inlineStr">
        <is>
          <t>PASS</t>
        </is>
      </c>
      <c r="B22" s="4">
        <f>COUNTIF(F2:F20,"PASS")</f>
        <v/>
      </c>
    </row>
    <row r="23">
      <c r="A23" s="3" t="inlineStr">
        <is>
          <t>FAIL</t>
        </is>
      </c>
      <c r="B23" s="4">
        <f>COUNTIF(F2:F20,"FAIL")</f>
        <v/>
      </c>
    </row>
    <row r="24">
      <c r="A24" s="3" t="inlineStr">
        <is>
          <t>BLOCKED</t>
        </is>
      </c>
      <c r="B24" s="4">
        <f>COUNTIF(F2:F20,"BLOCKED")</f>
        <v/>
      </c>
    </row>
    <row r="25">
      <c r="A25" s="3" t="inlineStr">
        <is>
          <t>SKIPPED</t>
        </is>
      </c>
      <c r="B25" s="4">
        <f>COUNTIF(F2:F20,"SKIPPED")</f>
        <v/>
      </c>
    </row>
    <row r="26">
      <c r="A26" s="3" t="inlineStr">
        <is>
          <t>NOT TESTED</t>
        </is>
      </c>
      <c r="B26" s="4">
        <f>COUNTIF(F2:F20,"NOT TESTED")</f>
        <v/>
      </c>
    </row>
    <row r="27">
      <c r="A27" s="3" t="inlineStr">
        <is>
          <t>Pass Rate</t>
        </is>
      </c>
      <c r="B27" s="5">
        <f>IF(B22&gt;0,B22/B21,0)</f>
        <v/>
      </c>
    </row>
  </sheetData>
  <conditionalFormatting sqref="F2:F28">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"SKIPPED"</formula>
    </cfRule>
  </conditionalFormatting>
  <dataValidations count="1">
    <dataValidation sqref="F2 F3 F4 F5 F6 F7 F8 F9 F10 F11 F12 F13 F14 F15 F16 F17 F18 F19 F20 F21 F22 F23 F24 F25 F26 F27 F28 F29 F30 F31 F32 F33 F34 F35 F36 F37 F38 F39 F40 F41 F42 F43 F44 F45 F46 F47 F48 F49 F50 F51 F52 F53 G2 G3 G4 G5 G6 G7 G8 G9 G10 G11 G12 G13 G14 G15 G16 G17 G18 G19 G20 G21 G22 G23 G24 G25 G26 G27 G28 G29 G30 G31 G32 G33 G34 G35 G36 G37 G38 G39 G40 G41 G42 G43 G44 G45 G46 G47 G48" showDropDown="0" showInputMessage="0" showErrorMessage="0" allowBlank="1" type="list">
      <formula1>"PASS,FAIL,BLOCKED,SKIPPED,NOT TESTED"</formula1>
    </dataValidation>
  </dataValidations>
  <pageMargins left="0.75" right="0.75" top="1" bottom="1" header="0.5" footer="0.5"/>
</worksheet>
</file>

<file path=xl/worksheets/sheet5.xml><?xml version="1.0" encoding="utf-8"?>
<worksheet xmlns="http://schemas.openxmlformats.org/spreadsheetml/2006/main">
  <sheetPr>
    <tabColor rgb="001F4E79"/>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25" customWidth="1" min="3" max="3"/>
    <col width="40" customWidth="1" min="4" max="4"/>
    <col width="30" customWidth="1" min="5" max="5"/>
    <col width="12" customWidth="1" min="6" max="6"/>
    <col width="30" customWidth="1" min="7" max="7"/>
    <col width="25" customWidth="1" min="8" max="8"/>
  </cols>
  <sheetData>
    <row r="1">
      <c r="A1" s="1" t="inlineStr">
        <is>
          <t>Test ID</t>
        </is>
      </c>
      <c r="B1" s="1" t="inlineStr">
        <is>
          <t>Test Case</t>
        </is>
      </c>
      <c r="C1" s="1" t="inlineStr">
        <is>
          <t>Precondition</t>
        </is>
      </c>
      <c r="D1" s="1" t="inlineStr">
        <is>
          <t>Steps</t>
        </is>
      </c>
      <c r="E1" s="1" t="inlineStr">
        <is>
          <t>Expected Result</t>
        </is>
      </c>
      <c r="F1" s="1" t="inlineStr">
        <is>
          <t>Pass/Fail</t>
        </is>
      </c>
      <c r="G1" s="1" t="inlineStr">
        <is>
          <t>Actual Result</t>
        </is>
      </c>
      <c r="H1" s="1" t="inlineStr">
        <is>
          <t>Notes</t>
        </is>
      </c>
    </row>
    <row r="2">
      <c r="A2" s="2" t="inlineStr">
        <is>
          <t>FC-001</t>
        </is>
      </c>
      <c r="B2" s="2" t="inlineStr">
        <is>
          <t>Create - all fields</t>
        </is>
      </c>
      <c r="C2" s="2" t="inlineStr">
        <is>
          <t>Admin</t>
        </is>
      </c>
      <c r="D2" s="2" t="inlineStr">
        <is>
          <t>All fields + contacts + discounts &gt; Submit</t>
        </is>
      </c>
      <c r="E2" s="2" t="inlineStr">
        <is>
          <t>Created</t>
        </is>
      </c>
      <c r="F2" s="2" t="inlineStr"/>
      <c r="G2" s="2" t="inlineStr"/>
      <c r="H2" s="2" t="inlineStr"/>
    </row>
    <row r="3">
      <c r="A3" s="2" t="inlineStr">
        <is>
          <t>FC-002</t>
        </is>
      </c>
      <c r="B3" s="2" t="inlineStr">
        <is>
          <t>Create - min fields</t>
        </is>
      </c>
      <c r="C3" s="2" t="inlineStr">
        <is>
          <t>Admin</t>
        </is>
      </c>
      <c r="D3" s="2" t="inlineStr">
        <is>
          <t>Name + Phone &gt; Submit</t>
        </is>
      </c>
      <c r="E3" s="2" t="inlineStr">
        <is>
          <t>Created</t>
        </is>
      </c>
      <c r="F3" s="2" t="inlineStr"/>
      <c r="G3" s="2" t="inlineStr"/>
      <c r="H3" s="2" t="inlineStr"/>
    </row>
    <row r="4">
      <c r="A4" s="2" t="inlineStr">
        <is>
          <t>FC-003</t>
        </is>
      </c>
      <c r="B4" s="2" t="inlineStr">
        <is>
          <t>Create - duplicate phone</t>
        </is>
      </c>
      <c r="C4" s="2" t="inlineStr">
        <is>
          <t>Phone exists</t>
        </is>
      </c>
      <c r="D4" s="2" t="inlineStr">
        <is>
          <t>Same phone &gt; Submit</t>
        </is>
      </c>
      <c r="E4" s="2" t="inlineStr">
        <is>
          <t>Error: duplicate</t>
        </is>
      </c>
      <c r="F4" s="2" t="inlineStr"/>
      <c r="G4" s="2" t="inlineStr"/>
      <c r="H4" s="2" t="inlineStr"/>
    </row>
    <row r="5">
      <c r="A5" s="2" t="inlineStr">
        <is>
          <t>FC-004</t>
        </is>
      </c>
      <c r="B5" s="2" t="inlineStr">
        <is>
          <t>Edit customer</t>
        </is>
      </c>
      <c r="C5" s="2" t="inlineStr">
        <is>
          <t>Exists</t>
        </is>
      </c>
      <c r="D5" s="2" t="inlineStr">
        <is>
          <t>Edit &gt; Change fields &gt; Save</t>
        </is>
      </c>
      <c r="E5" s="2" t="inlineStr">
        <is>
          <t>Updated</t>
        </is>
      </c>
      <c r="F5" s="2" t="inlineStr"/>
      <c r="G5" s="2" t="inlineStr"/>
      <c r="H5" s="2" t="inlineStr"/>
    </row>
    <row r="6">
      <c r="A6" s="2" t="inlineStr">
        <is>
          <t>FC-005</t>
        </is>
      </c>
      <c r="B6" s="2" t="inlineStr">
        <is>
          <t>Stop supply</t>
        </is>
      </c>
      <c r="C6" s="2" t="inlineStr">
        <is>
          <t>Active</t>
        </is>
      </c>
      <c r="D6" s="2" t="inlineStr">
        <is>
          <t>Stop Supply &gt; Confirm</t>
        </is>
      </c>
      <c r="E6" s="2" t="inlineStr">
        <is>
          <t>Stopped</t>
        </is>
      </c>
      <c r="F6" s="2" t="inlineStr"/>
      <c r="G6" s="2" t="inlineStr"/>
      <c r="H6" s="2" t="inlineStr"/>
    </row>
    <row r="7">
      <c r="A7" s="2" t="inlineStr">
        <is>
          <t>FC-006</t>
        </is>
      </c>
      <c r="B7" s="2" t="inlineStr">
        <is>
          <t>Resume supply</t>
        </is>
      </c>
      <c r="C7" s="2" t="inlineStr">
        <is>
          <t>Stopped</t>
        </is>
      </c>
      <c r="D7" s="2" t="inlineStr">
        <is>
          <t>Resume &gt; Confirm</t>
        </is>
      </c>
      <c r="E7" s="2" t="inlineStr">
        <is>
          <t>Resumed</t>
        </is>
      </c>
      <c r="F7" s="2" t="inlineStr"/>
      <c r="G7" s="2" t="inlineStr"/>
      <c r="H7" s="2" t="inlineStr"/>
    </row>
    <row r="8">
      <c r="A8" s="2" t="inlineStr">
        <is>
          <t>FC-007</t>
        </is>
      </c>
      <c r="B8" s="2" t="inlineStr">
        <is>
          <t>Detail - Orders tab</t>
        </is>
      </c>
      <c r="C8" s="2" t="inlineStr">
        <is>
          <t>Has orders</t>
        </is>
      </c>
      <c r="D8" s="2" t="inlineStr">
        <is>
          <t>View &gt; Orders</t>
        </is>
      </c>
      <c r="E8" s="2" t="inlineStr">
        <is>
          <t>Order list</t>
        </is>
      </c>
      <c r="F8" s="2" t="inlineStr"/>
      <c r="G8" s="2" t="inlineStr"/>
      <c r="H8" s="2" t="inlineStr"/>
    </row>
    <row r="9">
      <c r="A9" s="2" t="inlineStr">
        <is>
          <t>FC-008</t>
        </is>
      </c>
      <c r="B9" s="2" t="inlineStr">
        <is>
          <t>Detail - Invoices tab</t>
        </is>
      </c>
      <c r="C9" s="2" t="inlineStr">
        <is>
          <t>Has invoices</t>
        </is>
      </c>
      <c r="D9" s="2" t="inlineStr">
        <is>
          <t>View &gt; Invoices</t>
        </is>
      </c>
      <c r="E9" s="2" t="inlineStr">
        <is>
          <t>Invoice list</t>
        </is>
      </c>
      <c r="F9" s="2" t="inlineStr"/>
      <c r="G9" s="2" t="inlineStr"/>
      <c r="H9" s="2" t="inlineStr"/>
    </row>
    <row r="10">
      <c r="A10" s="2" t="inlineStr">
        <is>
          <t>FC-009</t>
        </is>
      </c>
      <c r="B10" s="2" t="inlineStr">
        <is>
          <t>Detail - Payments tab</t>
        </is>
      </c>
      <c r="C10" s="2" t="inlineStr">
        <is>
          <t>Has payments</t>
        </is>
      </c>
      <c r="D10" s="2" t="inlineStr">
        <is>
          <t>View &gt; Payments</t>
        </is>
      </c>
      <c r="E10" s="2" t="inlineStr">
        <is>
          <t>Payment list</t>
        </is>
      </c>
      <c r="F10" s="2" t="inlineStr"/>
      <c r="G10" s="2" t="inlineStr"/>
      <c r="H10" s="2" t="inlineStr"/>
    </row>
    <row r="11">
      <c r="A11" s="2" t="inlineStr">
        <is>
          <t>FC-010</t>
        </is>
      </c>
      <c r="B11" s="2" t="inlineStr">
        <is>
          <t>Detail - Inventory tab</t>
        </is>
      </c>
      <c r="C11" s="2" t="inlineStr">
        <is>
          <t>Has balances</t>
        </is>
      </c>
      <c r="D11" s="2" t="inlineStr">
        <is>
          <t>View &gt; Inventory</t>
        </is>
      </c>
      <c r="E11" s="2" t="inlineStr">
        <is>
          <t>Balances shown</t>
        </is>
      </c>
      <c r="F11" s="2" t="inlineStr"/>
      <c r="G11" s="2" t="inlineStr"/>
      <c r="H11" s="2" t="inlineStr"/>
    </row>
    <row r="12">
      <c r="A12" s="2" t="inlineStr">
        <is>
          <t>FC-011</t>
        </is>
      </c>
      <c r="B12" s="2" t="inlineStr">
        <is>
          <t>Detail - Ledger tab</t>
        </is>
      </c>
      <c r="C12" s="2" t="inlineStr">
        <is>
          <t>Has transactions</t>
        </is>
      </c>
      <c r="D12" s="2" t="inlineStr">
        <is>
          <t>View &gt; Ledger</t>
        </is>
      </c>
      <c r="E12" s="2" t="inlineStr">
        <is>
          <t>Running balance</t>
        </is>
      </c>
      <c r="F12" s="2" t="inlineStr"/>
      <c r="G12" s="2" t="inlineStr"/>
      <c r="H12" s="2" t="inlineStr"/>
    </row>
    <row r="13">
      <c r="A13" s="2" t="inlineStr">
        <is>
          <t>FC-012</t>
        </is>
      </c>
      <c r="B13" s="2" t="inlineStr">
        <is>
          <t>Search by name</t>
        </is>
      </c>
      <c r="C13" s="2" t="inlineStr">
        <is>
          <t>Multiple</t>
        </is>
      </c>
      <c r="D13" s="2" t="inlineStr">
        <is>
          <t>Type name</t>
        </is>
      </c>
      <c r="E13" s="2" t="inlineStr">
        <is>
          <t>Filtered</t>
        </is>
      </c>
      <c r="F13" s="2" t="inlineStr"/>
      <c r="G13" s="2" t="inlineStr"/>
      <c r="H13" s="2" t="inlineStr"/>
    </row>
    <row r="14">
      <c r="A14" s="2" t="inlineStr">
        <is>
          <t>FC-013</t>
        </is>
      </c>
      <c r="B14" s="2" t="inlineStr">
        <is>
          <t>Filter by status</t>
        </is>
      </c>
      <c r="C14" s="2" t="inlineStr">
        <is>
          <t>Various</t>
        </is>
      </c>
      <c r="D14" s="2" t="inlineStr">
        <is>
          <t>Status &gt; ACTIVE</t>
        </is>
      </c>
      <c r="E14" s="2" t="inlineStr">
        <is>
          <t>Filtered</t>
        </is>
      </c>
      <c r="F14" s="2" t="inlineStr"/>
      <c r="G14" s="2" t="inlineStr"/>
      <c r="H14" s="2" t="inlineStr"/>
    </row>
    <row r="15">
      <c r="A15" s="2" t="inlineStr">
        <is>
          <t>FC-014</t>
        </is>
      </c>
      <c r="B15" s="2" t="inlineStr">
        <is>
          <t>Provision portal</t>
        </is>
      </c>
      <c r="C15" s="2" t="inlineStr">
        <is>
          <t>No access</t>
        </is>
      </c>
      <c r="D15" s="2" t="inlineStr">
        <is>
          <t>Portal Access &gt; Email/pw &gt; Submit</t>
        </is>
      </c>
      <c r="E15" s="2" t="inlineStr">
        <is>
          <t>Account created</t>
        </is>
      </c>
      <c r="F15" s="2" t="inlineStr"/>
      <c r="G15" s="2" t="inlineStr"/>
      <c r="H15" s="2" t="inlineStr"/>
    </row>
    <row r="16">
      <c r="A16" s="2" t="inlineStr">
        <is>
          <t>FC-015</t>
        </is>
      </c>
      <c r="B16" s="2" t="inlineStr">
        <is>
          <t>Modification request</t>
        </is>
      </c>
      <c r="C16" s="2" t="inlineStr">
        <is>
          <t>Finance user</t>
        </is>
      </c>
      <c r="D16" s="2" t="inlineStr">
        <is>
          <t>Request change</t>
        </is>
      </c>
      <c r="E16" s="2" t="inlineStr">
        <is>
          <t>Pending</t>
        </is>
      </c>
      <c r="F16" s="2" t="inlineStr"/>
      <c r="G16" s="2" t="inlineStr"/>
      <c r="H16" s="2" t="inlineStr"/>
    </row>
    <row r="17">
      <c r="A17" s="2" t="inlineStr">
        <is>
          <t>FC-016</t>
        </is>
      </c>
      <c r="B17" s="2" t="inlineStr">
        <is>
          <t>Approve modification</t>
        </is>
      </c>
      <c r="C17" s="2" t="inlineStr">
        <is>
          <t>Pending request</t>
        </is>
      </c>
      <c r="D17" s="2" t="inlineStr">
        <is>
          <t>Admin &gt; Approve</t>
        </is>
      </c>
      <c r="E17" s="2" t="inlineStr">
        <is>
          <t>Updated</t>
        </is>
      </c>
      <c r="F17" s="2" t="inlineStr"/>
      <c r="G17" s="2" t="inlineStr"/>
      <c r="H17" s="2" t="inlineStr"/>
    </row>
    <row r="18">
      <c r="A18" s="2" t="inlineStr">
        <is>
          <t>FC-017</t>
        </is>
      </c>
      <c r="B18" s="2" t="inlineStr">
        <is>
          <t>Reject modification</t>
        </is>
      </c>
      <c r="C18" s="2" t="inlineStr">
        <is>
          <t>Pending</t>
        </is>
      </c>
      <c r="D18" s="2" t="inlineStr">
        <is>
          <t>Admin &gt; Reject</t>
        </is>
      </c>
      <c r="E18" s="2" t="inlineStr">
        <is>
          <t>Rejected</t>
        </is>
      </c>
      <c r="F18" s="2" t="inlineStr"/>
      <c r="G18" s="2" t="inlineStr"/>
      <c r="H18" s="2" t="inlineStr"/>
    </row>
    <row r="20">
      <c r="A20" s="3" t="inlineStr">
        <is>
          <t>Total Tests</t>
        </is>
      </c>
      <c r="B20" s="4">
        <f>COUNTA(F2:F19)</f>
        <v/>
      </c>
    </row>
    <row r="21">
      <c r="A21" s="3" t="inlineStr">
        <is>
          <t>PASS</t>
        </is>
      </c>
      <c r="B21" s="4">
        <f>COUNTIF(F2:F19,"PASS")</f>
        <v/>
      </c>
    </row>
    <row r="22">
      <c r="A22" s="3" t="inlineStr">
        <is>
          <t>FAIL</t>
        </is>
      </c>
      <c r="B22" s="4">
        <f>COUNTIF(F2:F19,"FAIL")</f>
        <v/>
      </c>
    </row>
    <row r="23">
      <c r="A23" s="3" t="inlineStr">
        <is>
          <t>BLOCKED</t>
        </is>
      </c>
      <c r="B23" s="4">
        <f>COUNTIF(F2:F19,"BLOCKED")</f>
        <v/>
      </c>
    </row>
    <row r="24">
      <c r="A24" s="3" t="inlineStr">
        <is>
          <t>SKIPPED</t>
        </is>
      </c>
      <c r="B24" s="4">
        <f>COUNTIF(F2:F19,"SKIPPED")</f>
        <v/>
      </c>
    </row>
    <row r="25">
      <c r="A25" s="3" t="inlineStr">
        <is>
          <t>NOT TESTED</t>
        </is>
      </c>
      <c r="B25" s="4">
        <f>COUNTIF(F2:F19,"NOT TESTED")</f>
        <v/>
      </c>
    </row>
    <row r="26">
      <c r="A26" s="3" t="inlineStr">
        <is>
          <t>Pass Rate</t>
        </is>
      </c>
      <c r="B26" s="5">
        <f>IF(B21&gt;0,B21/B20,0)</f>
        <v/>
      </c>
    </row>
  </sheetData>
  <conditionalFormatting sqref="F2:F27">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"SKIPPED"</formula>
    </cfRule>
  </conditionalFormatting>
  <dataValidations count="1">
    <dataValidation sqref="F2 F3 F4 F5 F6 F7 F8 F9 F10 F11 F12 F13 F14 F15 F16 F17 F18 F19 F20 F21 F22 F23 F24 F25 F26 F27 F28 F29 F30 F31 F32 F33 F34 F35 F36 F37 F38 F39 F40 F41 F42 F43 F44 F45 F46 F47 F48 F49 F50 F51 F52 F53 G2 G3 G4 G5 G6 G7 G8 G9 G10 G11 G12 G13 G14 G15 G16 G17 G18 G19 G20 G21 G22 G23 G24 G25 G26 G27 G28 G29 G30 G31 G32 G33 G34 G35 G36 G37 G38 G39 G40 G41 G42 G43 G44 G45 G46 G47 G48" showDropDown="0" showInputMessage="0" showErrorMessage="0" allowBlank="1" type="list">
      <formula1>"PASS,FAIL,BLOCKED,SKIPPED,NOT TESTED"</formula1>
    </dataValidation>
  </dataValidations>
  <pageMargins left="0.75" right="0.75" top="1" bottom="1" header="0.5" footer="0.5"/>
</worksheet>
</file>

<file path=xl/worksheets/sheet6.xml><?xml version="1.0" encoding="utf-8"?>
<worksheet xmlns="http://schemas.openxmlformats.org/spreadsheetml/2006/main">
  <sheetPr>
    <tabColor rgb="001F4E79"/>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25" customWidth="1" min="3" max="3"/>
    <col width="40" customWidth="1" min="4" max="4"/>
    <col width="30" customWidth="1" min="5" max="5"/>
    <col width="12" customWidth="1" min="6" max="6"/>
    <col width="30" customWidth="1" min="7" max="7"/>
    <col width="25" customWidth="1" min="8" max="8"/>
  </cols>
  <sheetData>
    <row r="1">
      <c r="A1" s="1" t="inlineStr">
        <is>
          <t>Test ID</t>
        </is>
      </c>
      <c r="B1" s="1" t="inlineStr">
        <is>
          <t>Test Case</t>
        </is>
      </c>
      <c r="C1" s="1" t="inlineStr">
        <is>
          <t>Precondition</t>
        </is>
      </c>
      <c r="D1" s="1" t="inlineStr">
        <is>
          <t>Steps</t>
        </is>
      </c>
      <c r="E1" s="1" t="inlineStr">
        <is>
          <t>Expected Result</t>
        </is>
      </c>
      <c r="F1" s="1" t="inlineStr">
        <is>
          <t>Pass/Fail</t>
        </is>
      </c>
      <c r="G1" s="1" t="inlineStr">
        <is>
          <t>Actual Result</t>
        </is>
      </c>
      <c r="H1" s="1" t="inlineStr">
        <is>
          <t>Notes</t>
        </is>
      </c>
    </row>
    <row r="2">
      <c r="A2" s="2" t="inlineStr">
        <is>
          <t>FB-001</t>
        </is>
      </c>
      <c r="B2" s="2" t="inlineStr">
        <is>
          <t>View invoices list</t>
        </is>
      </c>
      <c r="C2" s="2" t="inlineStr">
        <is>
          <t>Invoices exist</t>
        </is>
      </c>
      <c r="D2" s="2" t="inlineStr">
        <is>
          <t>Billing &gt; Invoices</t>
        </is>
      </c>
      <c r="E2" s="2" t="inlineStr">
        <is>
          <t>List loads</t>
        </is>
      </c>
      <c r="F2" s="2" t="inlineStr"/>
      <c r="G2" s="2" t="inlineStr"/>
      <c r="H2" s="2" t="inlineStr"/>
    </row>
    <row r="3">
      <c r="A3" s="2" t="inlineStr">
        <is>
          <t>FB-002</t>
        </is>
      </c>
      <c r="B3" s="2" t="inlineStr">
        <is>
          <t>Filter by status</t>
        </is>
      </c>
      <c r="C3" s="2" t="inlineStr">
        <is>
          <t>Various</t>
        </is>
      </c>
      <c r="D3" s="2" t="inlineStr">
        <is>
          <t>Status &gt; ISSUED</t>
        </is>
      </c>
      <c r="E3" s="2" t="inlineStr">
        <is>
          <t>Filtered</t>
        </is>
      </c>
      <c r="F3" s="2" t="inlineStr"/>
      <c r="G3" s="2" t="inlineStr"/>
      <c r="H3" s="2" t="inlineStr"/>
    </row>
    <row r="4">
      <c r="A4" s="2" t="inlineStr">
        <is>
          <t>FB-003</t>
        </is>
      </c>
      <c r="B4" s="2" t="inlineStr">
        <is>
          <t>Filter by IRN status</t>
        </is>
      </c>
      <c r="C4" s="2" t="inlineStr">
        <is>
          <t>GST invoices</t>
        </is>
      </c>
      <c r="D4" s="2" t="inlineStr">
        <is>
          <t>IRN &gt; SUCCESS</t>
        </is>
      </c>
      <c r="E4" s="2" t="inlineStr">
        <is>
          <t>Filtered</t>
        </is>
      </c>
      <c r="F4" s="2" t="inlineStr"/>
      <c r="G4" s="2" t="inlineStr"/>
      <c r="H4" s="2" t="inlineStr"/>
    </row>
    <row r="5">
      <c r="A5" s="2" t="inlineStr">
        <is>
          <t>FB-004</t>
        </is>
      </c>
      <c r="B5" s="2" t="inlineStr">
        <is>
          <t>Filter by date range</t>
        </is>
      </c>
      <c r="C5" s="2" t="inlineStr">
        <is>
          <t>Various dates</t>
        </is>
      </c>
      <c r="D5" s="2" t="inlineStr">
        <is>
          <t>Set range</t>
        </is>
      </c>
      <c r="E5" s="2" t="inlineStr">
        <is>
          <t>Filtered</t>
        </is>
      </c>
      <c r="F5" s="2" t="inlineStr"/>
      <c r="G5" s="2" t="inlineStr"/>
      <c r="H5" s="2" t="inlineStr"/>
    </row>
    <row r="6">
      <c r="A6" s="2" t="inlineStr">
        <is>
          <t>FB-005</t>
        </is>
      </c>
      <c r="B6" s="2" t="inlineStr">
        <is>
          <t>Invoice detail</t>
        </is>
      </c>
      <c r="C6" s="2" t="inlineStr">
        <is>
          <t>Invoice exists</t>
        </is>
      </c>
      <c r="D6" s="2" t="inlineStr">
        <is>
          <t>Click invoice</t>
        </is>
      </c>
      <c r="E6" s="2" t="inlineStr">
        <is>
          <t>Detail modal</t>
        </is>
      </c>
      <c r="F6" s="2" t="inlineStr"/>
      <c r="G6" s="2" t="inlineStr"/>
      <c r="H6" s="2" t="inlineStr"/>
    </row>
    <row r="7">
      <c r="A7" s="2" t="inlineStr">
        <is>
          <t>FB-006</t>
        </is>
      </c>
      <c r="B7" s="2" t="inlineStr">
        <is>
          <t>Download PDF</t>
        </is>
      </c>
      <c r="C7" s="2" t="inlineStr">
        <is>
          <t>Invoice exists</t>
        </is>
      </c>
      <c r="D7" s="2" t="inlineStr">
        <is>
          <t>Download</t>
        </is>
      </c>
      <c r="E7" s="2" t="inlineStr">
        <is>
          <t>PDF, content-type=application/pdf</t>
        </is>
      </c>
      <c r="F7" s="2" t="inlineStr"/>
      <c r="G7" s="2" t="inlineStr"/>
      <c r="H7" s="2" t="inlineStr"/>
    </row>
    <row r="8">
      <c r="A8" s="2" t="inlineStr">
        <is>
          <t>FB-007</t>
        </is>
      </c>
      <c r="B8" s="2" t="inlineStr">
        <is>
          <t>Payment - cash</t>
        </is>
      </c>
      <c r="C8" s="2" t="inlineStr">
        <is>
          <t>Outstanding</t>
        </is>
      </c>
      <c r="D8" s="2" t="inlineStr">
        <is>
          <t>Pay full &gt; Cash &gt; Submit</t>
        </is>
      </c>
      <c r="E8" s="2" t="inlineStr">
        <is>
          <t>Status=paid</t>
        </is>
      </c>
      <c r="F8" s="2" t="inlineStr"/>
      <c r="G8" s="2" t="inlineStr"/>
      <c r="H8" s="2" t="inlineStr"/>
    </row>
    <row r="9">
      <c r="A9" s="2" t="inlineStr">
        <is>
          <t>FB-008</t>
        </is>
      </c>
      <c r="B9" s="2" t="inlineStr">
        <is>
          <t>Payment - UPI</t>
        </is>
      </c>
      <c r="C9" s="2" t="inlineStr">
        <is>
          <t>Outstanding</t>
        </is>
      </c>
      <c r="D9" s="2" t="inlineStr">
        <is>
          <t>Pay &gt; UPI &gt; Ref &gt; Submit</t>
        </is>
      </c>
      <c r="E9" s="2" t="inlineStr">
        <is>
          <t>Recorded</t>
        </is>
      </c>
      <c r="F9" s="2" t="inlineStr"/>
      <c r="G9" s="2" t="inlineStr"/>
      <c r="H9" s="2" t="inlineStr"/>
    </row>
    <row r="10">
      <c r="A10" s="2" t="inlineStr">
        <is>
          <t>FB-009</t>
        </is>
      </c>
      <c r="B10" s="2" t="inlineStr">
        <is>
          <t>Payment - bank transfer</t>
        </is>
      </c>
      <c r="C10" s="2" t="inlineStr">
        <is>
          <t>Outstanding</t>
        </is>
      </c>
      <c r="D10" s="2" t="inlineStr">
        <is>
          <t>Pay &gt; Bank &gt; NEFT ref</t>
        </is>
      </c>
      <c r="E10" s="2" t="inlineStr">
        <is>
          <t>Recorded</t>
        </is>
      </c>
      <c r="F10" s="2" t="inlineStr"/>
      <c r="G10" s="2" t="inlineStr"/>
      <c r="H10" s="2" t="inlineStr"/>
    </row>
    <row r="11">
      <c r="A11" s="2" t="inlineStr">
        <is>
          <t>FB-010</t>
        </is>
      </c>
      <c r="B11" s="2" t="inlineStr">
        <is>
          <t>Payment - cheque</t>
        </is>
      </c>
      <c r="C11" s="2" t="inlineStr">
        <is>
          <t>Outstanding</t>
        </is>
      </c>
      <c r="D11" s="2" t="inlineStr">
        <is>
          <t>Pay &gt; Cheque &gt; # &gt; Submit</t>
        </is>
      </c>
      <c r="E11" s="2" t="inlineStr">
        <is>
          <t>Recorded</t>
        </is>
      </c>
      <c r="F11" s="2" t="inlineStr"/>
      <c r="G11" s="2" t="inlineStr"/>
      <c r="H11" s="2" t="inlineStr"/>
    </row>
    <row r="12">
      <c r="A12" s="2" t="inlineStr">
        <is>
          <t>FB-011</t>
        </is>
      </c>
      <c r="B12" s="2" t="inlineStr">
        <is>
          <t>Partial payment</t>
        </is>
      </c>
      <c r="C12" s="2" t="inlineStr">
        <is>
          <t>Rs.10000 invoice</t>
        </is>
      </c>
      <c r="D12" s="2" t="inlineStr">
        <is>
          <t>Pay Rs.5000</t>
        </is>
      </c>
      <c r="E12" s="2" t="inlineStr">
        <is>
          <t>Partially_paid, outstanding=5000</t>
        </is>
      </c>
      <c r="F12" s="2" t="inlineStr"/>
      <c r="G12" s="2" t="inlineStr"/>
      <c r="H12" s="2" t="inlineStr"/>
    </row>
    <row r="13">
      <c r="A13" s="2" t="inlineStr">
        <is>
          <t>FB-012</t>
        </is>
      </c>
      <c r="B13" s="2" t="inlineStr">
        <is>
          <t>Auto-allocate</t>
        </is>
      </c>
      <c r="C13" s="2" t="inlineStr">
        <is>
          <t>Unallocated payment</t>
        </is>
      </c>
      <c r="D13" s="2" t="inlineStr">
        <is>
          <t>Auto Allocate</t>
        </is>
      </c>
      <c r="E13" s="2" t="inlineStr">
        <is>
          <t>FIFO to oldest invoices</t>
        </is>
      </c>
      <c r="F13" s="2" t="inlineStr"/>
      <c r="G13" s="2" t="inlineStr"/>
      <c r="H13" s="2" t="inlineStr"/>
    </row>
    <row r="14">
      <c r="A14" s="2" t="inlineStr">
        <is>
          <t>FB-013</t>
        </is>
      </c>
      <c r="B14" s="2" t="inlineStr">
        <is>
          <t>Manual allocate</t>
        </is>
      </c>
      <c r="C14" s="2" t="inlineStr">
        <is>
          <t>Unallocated</t>
        </is>
      </c>
      <c r="D14" s="2" t="inlineStr">
        <is>
          <t>Select invoices &gt; Amounts &gt; Submit</t>
        </is>
      </c>
      <c r="E14" s="2" t="inlineStr">
        <is>
          <t>Allocated</t>
        </is>
      </c>
      <c r="F14" s="2" t="inlineStr"/>
      <c r="G14" s="2" t="inlineStr"/>
      <c r="H14" s="2" t="inlineStr"/>
    </row>
    <row r="15">
      <c r="A15" s="2" t="inlineStr">
        <is>
          <t>FB-014</t>
        </is>
      </c>
      <c r="B15" s="2" t="inlineStr">
        <is>
          <t>Create credit note</t>
        </is>
      </c>
      <c r="C15" s="2" t="inlineStr">
        <is>
          <t>Issued invoice</t>
        </is>
      </c>
      <c r="D15" s="2" t="inlineStr">
        <is>
          <t>CN &gt; Items &gt; Reason &gt; Submit</t>
        </is>
      </c>
      <c r="E15" s="2" t="inlineStr">
        <is>
          <t>CN pending</t>
        </is>
      </c>
      <c r="F15" s="2" t="inlineStr"/>
      <c r="G15" s="2" t="inlineStr"/>
      <c r="H15" s="2" t="inlineStr"/>
    </row>
    <row r="16">
      <c r="A16" s="2" t="inlineStr">
        <is>
          <t>FB-015</t>
        </is>
      </c>
      <c r="B16" s="2" t="inlineStr">
        <is>
          <t>Approve credit note</t>
        </is>
      </c>
      <c r="C16" s="2" t="inlineStr">
        <is>
          <t>Pending CN</t>
        </is>
      </c>
      <c r="D16" s="2" t="inlineStr">
        <is>
          <t>Approve</t>
        </is>
      </c>
      <c r="E16" s="2" t="inlineStr">
        <is>
          <t>Outstanding reduced, ledger entry</t>
        </is>
      </c>
      <c r="F16" s="2" t="inlineStr"/>
      <c r="G16" s="2" t="inlineStr"/>
      <c r="H16" s="2" t="inlineStr"/>
    </row>
    <row r="17">
      <c r="A17" s="2" t="inlineStr">
        <is>
          <t>FB-016</t>
        </is>
      </c>
      <c r="B17" s="2" t="inlineStr">
        <is>
          <t>Reject credit note</t>
        </is>
      </c>
      <c r="C17" s="2" t="inlineStr">
        <is>
          <t>Pending CN</t>
        </is>
      </c>
      <c r="D17" s="2" t="inlineStr">
        <is>
          <t>Reject</t>
        </is>
      </c>
      <c r="E17" s="2" t="inlineStr">
        <is>
          <t>No change</t>
        </is>
      </c>
      <c r="F17" s="2" t="inlineStr"/>
      <c r="G17" s="2" t="inlineStr"/>
      <c r="H17" s="2" t="inlineStr"/>
    </row>
    <row r="18">
      <c r="A18" s="2" t="inlineStr">
        <is>
          <t>FB-017</t>
        </is>
      </c>
      <c r="B18" s="2" t="inlineStr">
        <is>
          <t>Download CN PDF</t>
        </is>
      </c>
      <c r="C18" s="2" t="inlineStr">
        <is>
          <t>Approved CN</t>
        </is>
      </c>
      <c r="D18" s="2" t="inlineStr">
        <is>
          <t>Download</t>
        </is>
      </c>
      <c r="E18" s="2" t="inlineStr">
        <is>
          <t>PDF OK</t>
        </is>
      </c>
      <c r="F18" s="2" t="inlineStr"/>
      <c r="G18" s="2" t="inlineStr"/>
      <c r="H18" s="2" t="inlineStr"/>
    </row>
    <row r="19">
      <c r="A19" s="2" t="inlineStr">
        <is>
          <t>FB-018</t>
        </is>
      </c>
      <c r="B19" s="2" t="inlineStr">
        <is>
          <t>Create debit note</t>
        </is>
      </c>
      <c r="C19" s="2" t="inlineStr">
        <is>
          <t>Issued invoice</t>
        </is>
      </c>
      <c r="D19" s="2" t="inlineStr">
        <is>
          <t>DN &gt; Items &gt; Submit</t>
        </is>
      </c>
      <c r="E19" s="2" t="inlineStr">
        <is>
          <t>DN pending</t>
        </is>
      </c>
      <c r="F19" s="2" t="inlineStr"/>
      <c r="G19" s="2" t="inlineStr"/>
      <c r="H19" s="2" t="inlineStr"/>
    </row>
    <row r="20">
      <c r="A20" s="2" t="inlineStr">
        <is>
          <t>FB-019</t>
        </is>
      </c>
      <c r="B20" s="2" t="inlineStr">
        <is>
          <t>Approve debit note</t>
        </is>
      </c>
      <c r="C20" s="2" t="inlineStr">
        <is>
          <t>Pending DN</t>
        </is>
      </c>
      <c r="D20" s="2" t="inlineStr">
        <is>
          <t>Approve</t>
        </is>
      </c>
      <c r="E20" s="2" t="inlineStr">
        <is>
          <t>Outstanding increased</t>
        </is>
      </c>
      <c r="F20" s="2" t="inlineStr"/>
      <c r="G20" s="2" t="inlineStr"/>
      <c r="H20" s="2" t="inlineStr"/>
    </row>
    <row r="21">
      <c r="A21" s="2" t="inlineStr">
        <is>
          <t>FB-020</t>
        </is>
      </c>
      <c r="B21" s="2" t="inlineStr">
        <is>
          <t>Reject debit note</t>
        </is>
      </c>
      <c r="C21" s="2" t="inlineStr">
        <is>
          <t>Pending DN</t>
        </is>
      </c>
      <c r="D21" s="2" t="inlineStr">
        <is>
          <t>Reject</t>
        </is>
      </c>
      <c r="E21" s="2" t="inlineStr">
        <is>
          <t>No change</t>
        </is>
      </c>
      <c r="F21" s="2" t="inlineStr"/>
      <c r="G21" s="2" t="inlineStr"/>
      <c r="H21" s="2" t="inlineStr"/>
    </row>
    <row r="22">
      <c r="A22" s="2" t="inlineStr">
        <is>
          <t>FB-021</t>
        </is>
      </c>
      <c r="B22" s="2" t="inlineStr">
        <is>
          <t>Generate GST (IRN)</t>
        </is>
      </c>
      <c r="C22" s="2" t="inlineStr">
        <is>
          <t>GST B2B invoice</t>
        </is>
      </c>
      <c r="D22" s="2" t="inlineStr">
        <is>
          <t>Generate GST</t>
        </is>
      </c>
      <c r="E22" s="2" t="inlineStr">
        <is>
          <t>IRN generated</t>
        </is>
      </c>
      <c r="F22" s="2" t="inlineStr"/>
      <c r="G22" s="2" t="inlineStr"/>
      <c r="H22" s="2" t="inlineStr"/>
    </row>
    <row r="23">
      <c r="A23" s="2" t="inlineStr">
        <is>
          <t>FB-022</t>
        </is>
      </c>
      <c r="B23" s="2" t="inlineStr">
        <is>
          <t>Cancel IRN</t>
        </is>
      </c>
      <c r="C23" s="2" t="inlineStr">
        <is>
          <t>IRN success</t>
        </is>
      </c>
      <c r="D23" s="2" t="inlineStr">
        <is>
          <t>Cancel IRN</t>
        </is>
      </c>
      <c r="E23" s="2" t="inlineStr">
        <is>
          <t>Cancelled</t>
        </is>
      </c>
      <c r="F23" s="2" t="inlineStr"/>
      <c r="G23" s="2" t="inlineStr"/>
      <c r="H23" s="2" t="inlineStr"/>
    </row>
    <row r="24">
      <c r="A24" s="2" t="inlineStr">
        <is>
          <t>FB-023</t>
        </is>
      </c>
      <c r="B24" s="2" t="inlineStr">
        <is>
          <t>Generate EWB</t>
        </is>
      </c>
      <c r="C24" s="2" t="inlineStr">
        <is>
          <t>GST + vehicle</t>
        </is>
      </c>
      <c r="D24" s="2" t="inlineStr">
        <is>
          <t>Auto or manual</t>
        </is>
      </c>
      <c r="E24" s="2" t="inlineStr">
        <is>
          <t>EWB active</t>
        </is>
      </c>
      <c r="F24" s="2" t="inlineStr"/>
      <c r="G24" s="2" t="inlineStr"/>
      <c r="H24" s="2" t="inlineStr"/>
    </row>
    <row r="25">
      <c r="A25" s="2" t="inlineStr">
        <is>
          <t>FB-024</t>
        </is>
      </c>
      <c r="B25" s="2" t="inlineStr">
        <is>
          <t>Cancel EWB</t>
        </is>
      </c>
      <c r="C25" s="2" t="inlineStr">
        <is>
          <t>Active EWB</t>
        </is>
      </c>
      <c r="D25" s="2" t="inlineStr">
        <is>
          <t>Cancel EWB</t>
        </is>
      </c>
      <c r="E25" s="2" t="inlineStr">
        <is>
          <t>Cancelled</t>
        </is>
      </c>
      <c r="F25" s="2" t="inlineStr"/>
      <c r="G25" s="2" t="inlineStr"/>
      <c r="H25" s="2" t="inlineStr"/>
    </row>
    <row r="26">
      <c r="A26" s="2" t="inlineStr">
        <is>
          <t>FB-025</t>
        </is>
      </c>
      <c r="B26" s="2" t="inlineStr">
        <is>
          <t>Regenerate invoice</t>
        </is>
      </c>
      <c r="C26" s="2" t="inlineStr">
        <is>
          <t>Delivered order</t>
        </is>
      </c>
      <c r="D26" s="2" t="inlineStr">
        <is>
          <t>Regenerate</t>
        </is>
      </c>
      <c r="E26" s="2" t="inlineStr">
        <is>
          <t>Recreated</t>
        </is>
      </c>
      <c r="F26" s="2" t="inlineStr"/>
      <c r="G26" s="2" t="inlineStr"/>
      <c r="H26" s="2" t="inlineStr"/>
    </row>
    <row r="27">
      <c r="A27" s="2" t="inlineStr">
        <is>
          <t>FB-026</t>
        </is>
      </c>
      <c r="B27" s="2" t="inlineStr">
        <is>
          <t>Mark overdue</t>
        </is>
      </c>
      <c r="C27" s="2" t="inlineStr">
        <is>
          <t>Past-due invoices</t>
        </is>
      </c>
      <c r="D27" s="2" t="inlineStr">
        <is>
          <t>Trigger overdue</t>
        </is>
      </c>
      <c r="E27" s="2" t="inlineStr">
        <is>
          <t>Flagged</t>
        </is>
      </c>
      <c r="F27" s="2" t="inlineStr"/>
      <c r="G27" s="2" t="inlineStr"/>
      <c r="H27" s="2" t="inlineStr"/>
    </row>
    <row r="29">
      <c r="A29" s="3" t="inlineStr">
        <is>
          <t>Total Tests</t>
        </is>
      </c>
      <c r="B29" s="4">
        <f>COUNTA(F2:F28)</f>
        <v/>
      </c>
    </row>
    <row r="30">
      <c r="A30" s="3" t="inlineStr">
        <is>
          <t>PASS</t>
        </is>
      </c>
      <c r="B30" s="4">
        <f>COUNTIF(F2:F28,"PASS")</f>
        <v/>
      </c>
    </row>
    <row r="31">
      <c r="A31" s="3" t="inlineStr">
        <is>
          <t>FAIL</t>
        </is>
      </c>
      <c r="B31" s="4">
        <f>COUNTIF(F2:F28,"FAIL")</f>
        <v/>
      </c>
    </row>
    <row r="32">
      <c r="A32" s="3" t="inlineStr">
        <is>
          <t>BLOCKED</t>
        </is>
      </c>
      <c r="B32" s="4">
        <f>COUNTIF(F2:F28,"BLOCKED")</f>
        <v/>
      </c>
    </row>
    <row r="33">
      <c r="A33" s="3" t="inlineStr">
        <is>
          <t>SKIPPED</t>
        </is>
      </c>
      <c r="B33" s="4">
        <f>COUNTIF(F2:F28,"SKIPPED")</f>
        <v/>
      </c>
    </row>
    <row r="34">
      <c r="A34" s="3" t="inlineStr">
        <is>
          <t>NOT TESTED</t>
        </is>
      </c>
      <c r="B34" s="4">
        <f>COUNTIF(F2:F28,"NOT TESTED")</f>
        <v/>
      </c>
    </row>
    <row r="35">
      <c r="A35" s="3" t="inlineStr">
        <is>
          <t>Pass Rate</t>
        </is>
      </c>
      <c r="B35" s="5">
        <f>IF(B30&gt;0,B30/B29,0)</f>
        <v/>
      </c>
    </row>
  </sheetData>
  <conditionalFormatting sqref="F2:F36">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"SKIPPED"</formula>
    </cfRule>
  </conditionalFormatting>
  <dataValidations count="1">
    <dataValidation sqref="F2 F3 F4 F5 F6 F7 F8 F9 F10 F11 F12 F13 F14 F15 F16 F17 F18 F19 F20 F21 F22 F23 F24 F25 F26 F27 F28 F29 F30 F31 F32 F33 F34 F35 F36 F37 F38 F39 F40 F41 F42 F43 F44 F45 F46 F47 F48 F49 F50 F51 F52 F53 G2 G3 G4 G5 G6 G7 G8 G9 G10 G11 G12 G13 G14 G15 G16 G17 G18 G19 G20 G21 G22 G23 G24 G25 G26 G27 G28 G29 G30 G31 G32 G33 G34 G35 G36 G37 G38 G39 G40 G41 G42 G43 G44 G45 G46 G47 G48" showDropDown="0" showInputMessage="0" showErrorMessage="0" allowBlank="1" type="list">
      <formula1>"PASS,FAIL,BLOCKED,SKIPPED,NOT TESTED"</formula1>
    </dataValidation>
  </dataValidations>
  <pageMargins left="0.75" right="0.75" top="1" bottom="1" header="0.5" footer="0.5"/>
</worksheet>
</file>

<file path=xl/worksheets/sheet7.xml><?xml version="1.0" encoding="utf-8"?>
<worksheet xmlns="http://schemas.openxmlformats.org/spreadsheetml/2006/main">
  <sheetPr>
    <tabColor rgb="001F4E79"/>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25" customWidth="1" min="3" max="3"/>
    <col width="40" customWidth="1" min="4" max="4"/>
    <col width="30" customWidth="1" min="5" max="5"/>
    <col width="12" customWidth="1" min="6" max="6"/>
    <col width="30" customWidth="1" min="7" max="7"/>
    <col width="25" customWidth="1" min="8" max="8"/>
  </cols>
  <sheetData>
    <row r="1">
      <c r="A1" s="1" t="inlineStr">
        <is>
          <t>Test ID</t>
        </is>
      </c>
      <c r="B1" s="1" t="inlineStr">
        <is>
          <t>Test Case</t>
        </is>
      </c>
      <c r="C1" s="1" t="inlineStr">
        <is>
          <t>Precondition</t>
        </is>
      </c>
      <c r="D1" s="1" t="inlineStr">
        <is>
          <t>Steps</t>
        </is>
      </c>
      <c r="E1" s="1" t="inlineStr">
        <is>
          <t>Expected Result</t>
        </is>
      </c>
      <c r="F1" s="1" t="inlineStr">
        <is>
          <t>Pass/Fail</t>
        </is>
      </c>
      <c r="G1" s="1" t="inlineStr">
        <is>
          <t>Actual Result</t>
        </is>
      </c>
      <c r="H1" s="1" t="inlineStr">
        <is>
          <t>Notes</t>
        </is>
      </c>
    </row>
    <row r="2">
      <c r="A2" s="2" t="inlineStr">
        <is>
          <t>FF-001</t>
        </is>
      </c>
      <c r="B2" s="2" t="inlineStr">
        <is>
          <t>Create driver</t>
        </is>
      </c>
      <c r="C2" s="2" t="inlineStr">
        <is>
          <t>Admin</t>
        </is>
      </c>
      <c r="D2" s="2" t="inlineStr">
        <is>
          <t>Add &gt; Name, Phone, Licence &gt; Submit</t>
        </is>
      </c>
      <c r="E2" s="2" t="inlineStr">
        <is>
          <t>Created, active</t>
        </is>
      </c>
      <c r="F2" s="2" t="inlineStr"/>
      <c r="G2" s="2" t="inlineStr"/>
      <c r="H2" s="2" t="inlineStr"/>
    </row>
    <row r="3">
      <c r="A3" s="2" t="inlineStr">
        <is>
          <t>FF-002</t>
        </is>
      </c>
      <c r="B3" s="2" t="inlineStr">
        <is>
          <t>Edit driver</t>
        </is>
      </c>
      <c r="C3" s="2" t="inlineStr">
        <is>
          <t>Exists</t>
        </is>
      </c>
      <c r="D3" s="2" t="inlineStr">
        <is>
          <t>Edit &gt; Change phone &gt; Save</t>
        </is>
      </c>
      <c r="E3" s="2" t="inlineStr">
        <is>
          <t>Updated</t>
        </is>
      </c>
      <c r="F3" s="2" t="inlineStr"/>
      <c r="G3" s="2" t="inlineStr"/>
      <c r="H3" s="2" t="inlineStr"/>
    </row>
    <row r="4">
      <c r="A4" s="2" t="inlineStr">
        <is>
          <t>FF-003</t>
        </is>
      </c>
      <c r="B4" s="2" t="inlineStr">
        <is>
          <t>Delete driver</t>
        </is>
      </c>
      <c r="C4" s="2" t="inlineStr">
        <is>
          <t>No assignments</t>
        </is>
      </c>
      <c r="D4" s="2" t="inlineStr">
        <is>
          <t>Delete &gt; Confirm</t>
        </is>
      </c>
      <c r="E4" s="2" t="inlineStr">
        <is>
          <t>Deactivated</t>
        </is>
      </c>
      <c r="F4" s="2" t="inlineStr"/>
      <c r="G4" s="2" t="inlineStr"/>
      <c r="H4" s="2" t="inlineStr"/>
    </row>
    <row r="5">
      <c r="A5" s="2" t="inlineStr">
        <is>
          <t>FF-004</t>
        </is>
      </c>
      <c r="B5" s="2" t="inlineStr">
        <is>
          <t>Toggle availability</t>
        </is>
      </c>
      <c r="C5" s="2" t="inlineStr">
        <is>
          <t>Active</t>
        </is>
      </c>
      <c r="D5" s="2" t="inlineStr">
        <is>
          <t>Toggle</t>
        </is>
      </c>
      <c r="E5" s="2" t="inlineStr">
        <is>
          <t>Badge updates</t>
        </is>
      </c>
      <c r="F5" s="2" t="inlineStr"/>
      <c r="G5" s="2" t="inlineStr"/>
      <c r="H5" s="2" t="inlineStr"/>
    </row>
    <row r="6">
      <c r="A6" s="2" t="inlineStr">
        <is>
          <t>FF-005</t>
        </is>
      </c>
      <c r="B6" s="2" t="inlineStr">
        <is>
          <t>Create vehicle</t>
        </is>
      </c>
      <c r="C6" s="2" t="inlineStr">
        <is>
          <t>Admin</t>
        </is>
      </c>
      <c r="D6" s="2" t="inlineStr">
        <is>
          <t>Add &gt; Number, Type, Capacity &gt; Submit</t>
        </is>
      </c>
      <c r="E6" s="2" t="inlineStr">
        <is>
          <t>Created</t>
        </is>
      </c>
      <c r="F6" s="2" t="inlineStr"/>
      <c r="G6" s="2" t="inlineStr"/>
      <c r="H6" s="2" t="inlineStr"/>
    </row>
    <row r="7">
      <c r="A7" s="2" t="inlineStr">
        <is>
          <t>FF-006</t>
        </is>
      </c>
      <c r="B7" s="2" t="inlineStr">
        <is>
          <t>Edit vehicle</t>
        </is>
      </c>
      <c r="C7" s="2" t="inlineStr">
        <is>
          <t>Exists</t>
        </is>
      </c>
      <c r="D7" s="2" t="inlineStr">
        <is>
          <t>Edit &gt; Capacity &gt; Save</t>
        </is>
      </c>
      <c r="E7" s="2" t="inlineStr">
        <is>
          <t>Updated</t>
        </is>
      </c>
      <c r="F7" s="2" t="inlineStr"/>
      <c r="G7" s="2" t="inlineStr"/>
      <c r="H7" s="2" t="inlineStr"/>
    </row>
    <row r="8">
      <c r="A8" s="2" t="inlineStr">
        <is>
          <t>FF-007</t>
        </is>
      </c>
      <c r="B8" s="2" t="inlineStr">
        <is>
          <t>Delete vehicle</t>
        </is>
      </c>
      <c r="C8" s="2" t="inlineStr">
        <is>
          <t>Not in use</t>
        </is>
      </c>
      <c r="D8" s="2" t="inlineStr">
        <is>
          <t>Delete &gt; Confirm</t>
        </is>
      </c>
      <c r="E8" s="2" t="inlineStr">
        <is>
          <t>Deactivated</t>
        </is>
      </c>
      <c r="F8" s="2" t="inlineStr"/>
      <c r="G8" s="2" t="inlineStr"/>
      <c r="H8" s="2" t="inlineStr"/>
    </row>
    <row r="9">
      <c r="A9" s="2" t="inlineStr">
        <is>
          <t>FF-008</t>
        </is>
      </c>
      <c r="B9" s="2" t="inlineStr">
        <is>
          <t>Create assignment</t>
        </is>
      </c>
      <c r="C9" s="2" t="inlineStr">
        <is>
          <t>Free driver+vehicle</t>
        </is>
      </c>
      <c r="D9" s="2" t="inlineStr">
        <is>
          <t>Create &gt; Driver+Vehicle &gt; Submit</t>
        </is>
      </c>
      <c r="E9" s="2" t="inlineStr">
        <is>
          <t>dispatch_ready</t>
        </is>
      </c>
      <c r="F9" s="2" t="inlineStr"/>
      <c r="G9" s="2" t="inlineStr"/>
      <c r="H9" s="2" t="inlineStr"/>
    </row>
    <row r="10">
      <c r="A10" s="2" t="inlineStr">
        <is>
          <t>FF-009</t>
        </is>
      </c>
      <c r="B10" s="2" t="inlineStr">
        <is>
          <t>Update assignment</t>
        </is>
      </c>
      <c r="C10" s="2" t="inlineStr">
        <is>
          <t>dispatch_ready</t>
        </is>
      </c>
      <c r="D10" s="2" t="inlineStr">
        <is>
          <t>Update to loaded_and_dispatched</t>
        </is>
      </c>
      <c r="E10" s="2" t="inlineStr">
        <is>
          <t>Updated</t>
        </is>
      </c>
      <c r="F10" s="2" t="inlineStr"/>
      <c r="G10" s="2" t="inlineStr"/>
      <c r="H10" s="2" t="inlineStr"/>
    </row>
    <row r="11">
      <c r="A11" s="2" t="inlineStr">
        <is>
          <t>FF-010</t>
        </is>
      </c>
      <c r="B11" s="2" t="inlineStr">
        <is>
          <t>Driver performance</t>
        </is>
      </c>
      <c r="C11" s="2" t="inlineStr">
        <is>
          <t>History exists</t>
        </is>
      </c>
      <c r="D11" s="2" t="inlineStr">
        <is>
          <t>Performance button</t>
        </is>
      </c>
      <c r="E11" s="2" t="inlineStr">
        <is>
          <t>Metrics shown</t>
        </is>
      </c>
      <c r="F11" s="2" t="inlineStr"/>
      <c r="G11" s="2" t="inlineStr"/>
      <c r="H11" s="2" t="inlineStr"/>
    </row>
    <row r="12">
      <c r="A12" s="2" t="inlineStr">
        <is>
          <t>FF-011</t>
        </is>
      </c>
      <c r="B12" s="2" t="inlineStr">
        <is>
          <t>Vehicle inventory</t>
        </is>
      </c>
      <c r="C12" s="2" t="inlineStr">
        <is>
          <t>Loaded</t>
        </is>
      </c>
      <c r="D12" s="2" t="inlineStr">
        <is>
          <t>View inventory</t>
        </is>
      </c>
      <c r="E12" s="2" t="inlineStr">
        <is>
          <t>Quantities shown</t>
        </is>
      </c>
      <c r="F12" s="2" t="inlineStr"/>
      <c r="G12" s="2" t="inlineStr"/>
      <c r="H12" s="2" t="inlineStr"/>
    </row>
    <row r="14">
      <c r="A14" s="3" t="inlineStr">
        <is>
          <t>Total Tests</t>
        </is>
      </c>
      <c r="B14" s="4">
        <f>COUNTA(F2:F13)</f>
        <v/>
      </c>
    </row>
    <row r="15">
      <c r="A15" s="3" t="inlineStr">
        <is>
          <t>PASS</t>
        </is>
      </c>
      <c r="B15" s="4">
        <f>COUNTIF(F2:F13,"PASS")</f>
        <v/>
      </c>
    </row>
    <row r="16">
      <c r="A16" s="3" t="inlineStr">
        <is>
          <t>FAIL</t>
        </is>
      </c>
      <c r="B16" s="4">
        <f>COUNTIF(F2:F13,"FAIL")</f>
        <v/>
      </c>
    </row>
    <row r="17">
      <c r="A17" s="3" t="inlineStr">
        <is>
          <t>BLOCKED</t>
        </is>
      </c>
      <c r="B17" s="4">
        <f>COUNTIF(F2:F13,"BLOCKED")</f>
        <v/>
      </c>
    </row>
    <row r="18">
      <c r="A18" s="3" t="inlineStr">
        <is>
          <t>SKIPPED</t>
        </is>
      </c>
      <c r="B18" s="4">
        <f>COUNTIF(F2:F13,"SKIPPED")</f>
        <v/>
      </c>
    </row>
    <row r="19">
      <c r="A19" s="3" t="inlineStr">
        <is>
          <t>NOT TESTED</t>
        </is>
      </c>
      <c r="B19" s="4">
        <f>COUNTIF(F2:F13,"NOT TESTED")</f>
        <v/>
      </c>
    </row>
    <row r="20">
      <c r="A20" s="3" t="inlineStr">
        <is>
          <t>Pass Rate</t>
        </is>
      </c>
      <c r="B20" s="5">
        <f>IF(B15&gt;0,B15/B14,0)</f>
        <v/>
      </c>
    </row>
  </sheetData>
  <conditionalFormatting sqref="F2:F21">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"SKIPPED"</formula>
    </cfRule>
  </conditionalFormatting>
  <dataValidations count="1">
    <dataValidation sqref="F2 F3 F4 F5 F6 F7 F8 F9 F10 F11 F12 F13 F14 F15 F16 F17 F18 F19 F20 F21 F22 F23 F24 F25 F26 F27 F28 F29 F30 F31 F32 F33 F34 F35 F36 F37 F38 F39 F40 F41 F42 F43 F44 F45 F46 F47 F48 F49 F50 F51 F52 F53 G2 G3 G4 G5 G6 G7 G8 G9 G10 G11 G12 G13 G14 G15 G16 G17 G18 G19 G20 G21 G22 G23 G24 G25 G26 G27 G28 G29 G30 G31 G32 G33 G34 G35 G36 G37 G38 G39 G40 G41 G42 G43 G44 G45 G46 G47 G48" showDropDown="0" showInputMessage="0" showErrorMessage="0" allowBlank="1" type="list">
      <formula1>"PASS,FAIL,BLOCKED,SKIPPED,NOT TESTED"</formula1>
    </dataValidation>
  </dataValidations>
  <pageMargins left="0.75" right="0.75" top="1" bottom="1" header="0.5" footer="0.5"/>
</worksheet>
</file>

<file path=xl/worksheets/sheet8.xml><?xml version="1.0" encoding="utf-8"?>
<worksheet xmlns="http://schemas.openxmlformats.org/spreadsheetml/2006/main">
  <sheetPr>
    <tabColor rgb="001F4E79"/>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25" customWidth="1" min="3" max="3"/>
    <col width="40" customWidth="1" min="4" max="4"/>
    <col width="30" customWidth="1" min="5" max="5"/>
    <col width="12" customWidth="1" min="6" max="6"/>
    <col width="30" customWidth="1" min="7" max="7"/>
    <col width="25" customWidth="1" min="8" max="8"/>
  </cols>
  <sheetData>
    <row r="1">
      <c r="A1" s="1" t="inlineStr">
        <is>
          <t>Test ID</t>
        </is>
      </c>
      <c r="B1" s="1" t="inlineStr">
        <is>
          <t>Test Case</t>
        </is>
      </c>
      <c r="C1" s="1" t="inlineStr">
        <is>
          <t>Precondition</t>
        </is>
      </c>
      <c r="D1" s="1" t="inlineStr">
        <is>
          <t>Steps</t>
        </is>
      </c>
      <c r="E1" s="1" t="inlineStr">
        <is>
          <t>Expected Result</t>
        </is>
      </c>
      <c r="F1" s="1" t="inlineStr">
        <is>
          <t>Pass/Fail</t>
        </is>
      </c>
      <c r="G1" s="1" t="inlineStr">
        <is>
          <t>Actual Result</t>
        </is>
      </c>
      <c r="H1" s="1" t="inlineStr">
        <is>
          <t>Notes</t>
        </is>
      </c>
    </row>
    <row r="2">
      <c r="A2" s="2" t="inlineStr">
        <is>
          <t>FS-001</t>
        </is>
      </c>
      <c r="B2" s="2" t="inlineStr">
        <is>
          <t>General - SLA hours</t>
        </is>
      </c>
      <c r="C2" s="2" t="inlineStr">
        <is>
          <t>Admin</t>
        </is>
      </c>
      <c r="D2" s="2" t="inlineStr">
        <is>
          <t>General &gt; Critical=4h &gt; Save</t>
        </is>
      </c>
      <c r="E2" s="2" t="inlineStr">
        <is>
          <t>Updated</t>
        </is>
      </c>
      <c r="F2" s="2" t="inlineStr"/>
      <c r="G2" s="2" t="inlineStr"/>
      <c r="H2" s="2" t="inlineStr"/>
    </row>
    <row r="3">
      <c r="A3" s="2" t="inlineStr">
        <is>
          <t>FS-002</t>
        </is>
      </c>
      <c r="B3" s="2" t="inlineStr">
        <is>
          <t>GST - credentials</t>
        </is>
      </c>
      <c r="C3" s="2" t="inlineStr">
        <is>
          <t>Admin</t>
        </is>
      </c>
      <c r="D3" s="2" t="inlineStr">
        <is>
          <t>GST &gt; Client ID, Secret, GSTIN &gt; Save</t>
        </is>
      </c>
      <c r="E3" s="2" t="inlineStr">
        <is>
          <t>Saved</t>
        </is>
      </c>
      <c r="F3" s="2" t="inlineStr"/>
      <c r="G3" s="2" t="inlineStr"/>
      <c r="H3" s="2" t="inlineStr"/>
    </row>
    <row r="4">
      <c r="A4" s="2" t="inlineStr">
        <is>
          <t>FS-003</t>
        </is>
      </c>
      <c r="B4" s="2" t="inlineStr">
        <is>
          <t>GST - enable</t>
        </is>
      </c>
      <c r="C4" s="2" t="inlineStr">
        <is>
          <t>Disabled</t>
        </is>
      </c>
      <c r="D4" s="2" t="inlineStr">
        <is>
          <t>Toggle on &gt; Sandbox &gt; Save</t>
        </is>
      </c>
      <c r="E4" s="2" t="inlineStr">
        <is>
          <t>Enabled</t>
        </is>
      </c>
      <c r="F4" s="2" t="inlineStr"/>
      <c r="G4" s="2" t="inlineStr"/>
      <c r="H4" s="2" t="inlineStr"/>
    </row>
    <row r="5">
      <c r="A5" s="2" t="inlineStr">
        <is>
          <t>FS-004</t>
        </is>
      </c>
      <c r="B5" s="2" t="inlineStr">
        <is>
          <t>GST - disable</t>
        </is>
      </c>
      <c r="C5" s="2" t="inlineStr">
        <is>
          <t>Enabled</t>
        </is>
      </c>
      <c r="D5" s="2" t="inlineStr">
        <is>
          <t>Toggle off &gt; Save</t>
        </is>
      </c>
      <c r="E5" s="2" t="inlineStr">
        <is>
          <t>Disabled</t>
        </is>
      </c>
      <c r="F5" s="2" t="inlineStr"/>
      <c r="G5" s="2" t="inlineStr"/>
      <c r="H5" s="2" t="inlineStr"/>
    </row>
    <row r="6">
      <c r="A6" s="2" t="inlineStr">
        <is>
          <t>FS-005</t>
        </is>
      </c>
      <c r="B6" s="2" t="inlineStr">
        <is>
          <t>GST - mode change</t>
        </is>
      </c>
      <c r="C6" s="2" t="inlineStr">
        <is>
          <t>On</t>
        </is>
      </c>
      <c r="D6" s="2" t="inlineStr">
        <is>
          <t>Sandbox &gt; Live &gt; Save</t>
        </is>
      </c>
      <c r="E6" s="2" t="inlineStr">
        <is>
          <t>Changed</t>
        </is>
      </c>
      <c r="F6" s="2" t="inlineStr"/>
      <c r="G6" s="2" t="inlineStr"/>
      <c r="H6" s="2" t="inlineStr"/>
    </row>
    <row r="7">
      <c r="A7" s="2" t="inlineStr">
        <is>
          <t>FS-006</t>
        </is>
      </c>
      <c r="B7" s="2" t="inlineStr">
        <is>
          <t>Prices - add</t>
        </is>
      </c>
      <c r="C7" s="2" t="inlineStr">
        <is>
          <t>Types exist</t>
        </is>
      </c>
      <c r="D7" s="2" t="inlineStr">
        <is>
          <t>New price &gt; Save</t>
        </is>
      </c>
      <c r="E7" s="2" t="inlineStr">
        <is>
          <t>Added</t>
        </is>
      </c>
      <c r="F7" s="2" t="inlineStr"/>
      <c r="G7" s="2" t="inlineStr"/>
      <c r="H7" s="2" t="inlineStr"/>
    </row>
    <row r="8">
      <c r="A8" s="2" t="inlineStr">
        <is>
          <t>FS-007</t>
        </is>
      </c>
      <c r="B8" s="2" t="inlineStr">
        <is>
          <t>Prices - edit</t>
        </is>
      </c>
      <c r="C8" s="2" t="inlineStr">
        <is>
          <t>Price exists</t>
        </is>
      </c>
      <c r="D8" s="2" t="inlineStr">
        <is>
          <t>Edit &gt; Change &gt; Save</t>
        </is>
      </c>
      <c r="E8" s="2" t="inlineStr">
        <is>
          <t>Updated</t>
        </is>
      </c>
      <c r="F8" s="2" t="inlineStr"/>
      <c r="G8" s="2" t="inlineStr"/>
      <c r="H8" s="2" t="inlineStr"/>
    </row>
    <row r="9">
      <c r="A9" s="2" t="inlineStr">
        <is>
          <t>FS-008</t>
        </is>
      </c>
      <c r="B9" s="2" t="inlineStr">
        <is>
          <t>Thresholds - critical</t>
        </is>
      </c>
      <c r="C9" s="2" t="inlineStr">
        <is>
          <t>Types exist</t>
        </is>
      </c>
      <c r="D9" s="2" t="inlineStr">
        <is>
          <t>Critical=20 &gt; Save</t>
        </is>
      </c>
      <c r="E9" s="2" t="inlineStr">
        <is>
          <t>Saved</t>
        </is>
      </c>
      <c r="F9" s="2" t="inlineStr"/>
      <c r="G9" s="2" t="inlineStr"/>
      <c r="H9" s="2" t="inlineStr"/>
    </row>
    <row r="10">
      <c r="A10" s="2" t="inlineStr">
        <is>
          <t>FS-009</t>
        </is>
      </c>
      <c r="B10" s="2" t="inlineStr">
        <is>
          <t>Thresholds - warning</t>
        </is>
      </c>
      <c r="C10" s="2" t="inlineStr">
        <is>
          <t>Types exist</t>
        </is>
      </c>
      <c r="D10" s="2" t="inlineStr">
        <is>
          <t>Warning=50 &gt; Save</t>
        </is>
      </c>
      <c r="E10" s="2" t="inlineStr">
        <is>
          <t>Saved</t>
        </is>
      </c>
      <c r="F10" s="2" t="inlineStr"/>
      <c r="G10" s="2" t="inlineStr"/>
      <c r="H10" s="2" t="inlineStr"/>
    </row>
    <row r="11">
      <c r="A11" s="2" t="inlineStr">
        <is>
          <t>FS-010</t>
        </is>
      </c>
      <c r="B11" s="2" t="inlineStr">
        <is>
          <t>Users - create Finance</t>
        </is>
      </c>
      <c r="C11" s="2" t="inlineStr">
        <is>
          <t>Admin</t>
        </is>
      </c>
      <c r="D11" s="2" t="inlineStr">
        <is>
          <t>Add &gt; Finance &gt; Submit</t>
        </is>
      </c>
      <c r="E11" s="2" t="inlineStr">
        <is>
          <t>Created</t>
        </is>
      </c>
      <c r="F11" s="2" t="inlineStr"/>
      <c r="G11" s="2" t="inlineStr"/>
      <c r="H11" s="2" t="inlineStr"/>
    </row>
    <row r="12">
      <c r="A12" s="2" t="inlineStr">
        <is>
          <t>FS-011</t>
        </is>
      </c>
      <c r="B12" s="2" t="inlineStr">
        <is>
          <t>Users - create Inventory</t>
        </is>
      </c>
      <c r="C12" s="2" t="inlineStr">
        <is>
          <t>Admin</t>
        </is>
      </c>
      <c r="D12" s="2" t="inlineStr">
        <is>
          <t>Add &gt; Inventory &gt; Submit</t>
        </is>
      </c>
      <c r="E12" s="2" t="inlineStr">
        <is>
          <t>Created</t>
        </is>
      </c>
      <c r="F12" s="2" t="inlineStr"/>
      <c r="G12" s="2" t="inlineStr"/>
      <c r="H12" s="2" t="inlineStr"/>
    </row>
    <row r="13">
      <c r="A13" s="2" t="inlineStr">
        <is>
          <t>FS-012</t>
        </is>
      </c>
      <c r="B13" s="2" t="inlineStr">
        <is>
          <t>Users - create Driver</t>
        </is>
      </c>
      <c r="C13" s="2" t="inlineStr">
        <is>
          <t>Admin</t>
        </is>
      </c>
      <c r="D13" s="2" t="inlineStr">
        <is>
          <t>Add &gt; Driver &gt; Submit</t>
        </is>
      </c>
      <c r="E13" s="2" t="inlineStr">
        <is>
          <t>Created</t>
        </is>
      </c>
      <c r="F13" s="2" t="inlineStr"/>
      <c r="G13" s="2" t="inlineStr"/>
      <c r="H13" s="2" t="inlineStr"/>
    </row>
    <row r="14">
      <c r="A14" s="2" t="inlineStr">
        <is>
          <t>FS-013</t>
        </is>
      </c>
      <c r="B14" s="2" t="inlineStr">
        <is>
          <t>Users - edit</t>
        </is>
      </c>
      <c r="C14" s="2" t="inlineStr">
        <is>
          <t>User exists</t>
        </is>
      </c>
      <c r="D14" s="2" t="inlineStr">
        <is>
          <t>Edit &gt; Change role &gt; Save</t>
        </is>
      </c>
      <c r="E14" s="2" t="inlineStr">
        <is>
          <t>Updated</t>
        </is>
      </c>
      <c r="F14" s="2" t="inlineStr"/>
      <c r="G14" s="2" t="inlineStr"/>
      <c r="H14" s="2" t="inlineStr"/>
    </row>
    <row r="15">
      <c r="A15" s="2" t="inlineStr">
        <is>
          <t>FS-014</t>
        </is>
      </c>
      <c r="B15" s="2" t="inlineStr">
        <is>
          <t>Users - delete</t>
        </is>
      </c>
      <c r="C15" s="2" t="inlineStr">
        <is>
          <t>User exists</t>
        </is>
      </c>
      <c r="D15" s="2" t="inlineStr">
        <is>
          <t>Delete &gt; Confirm</t>
        </is>
      </c>
      <c r="E15" s="2" t="inlineStr">
        <is>
          <t>Deactivated</t>
        </is>
      </c>
      <c r="F15" s="2" t="inlineStr"/>
      <c r="G15" s="2" t="inlineStr"/>
      <c r="H15" s="2" t="inlineStr"/>
    </row>
    <row r="16">
      <c r="A16" s="2" t="inlineStr">
        <is>
          <t>FS-015</t>
        </is>
      </c>
      <c r="B16" s="2" t="inlineStr">
        <is>
          <t>Users - reset password</t>
        </is>
      </c>
      <c r="C16" s="2" t="inlineStr">
        <is>
          <t>User exists</t>
        </is>
      </c>
      <c r="D16" s="2" t="inlineStr">
        <is>
          <t>Reset &gt; New pw &gt; Submit</t>
        </is>
      </c>
      <c r="E16" s="2" t="inlineStr">
        <is>
          <t>Can login</t>
        </is>
      </c>
      <c r="F16" s="2" t="inlineStr"/>
      <c r="G16" s="2" t="inlineStr"/>
      <c r="H16" s="2" t="inlineStr"/>
    </row>
    <row r="17">
      <c r="A17" s="2" t="inlineStr">
        <is>
          <t>FS-016</t>
        </is>
      </c>
      <c r="B17" s="2" t="inlineStr">
        <is>
          <t>Licenses - view</t>
        </is>
      </c>
      <c r="C17" s="2" t="inlineStr">
        <is>
          <t>Configured</t>
        </is>
      </c>
      <c r="D17" s="2" t="inlineStr">
        <is>
          <t>Licenses tab</t>
        </is>
      </c>
      <c r="E17" s="2" t="inlineStr">
        <is>
          <t>Info shown</t>
        </is>
      </c>
      <c r="F17" s="2" t="inlineStr"/>
      <c r="G17" s="2" t="inlineStr"/>
      <c r="H17" s="2" t="inlineStr"/>
    </row>
    <row r="18">
      <c r="A18" s="2" t="inlineStr">
        <is>
          <t>FS-017</t>
        </is>
      </c>
      <c r="B18" s="2" t="inlineStr">
        <is>
          <t>Billing - view</t>
        </is>
      </c>
      <c r="C18" s="2" t="inlineStr">
        <is>
          <t>Enabled</t>
        </is>
      </c>
      <c r="D18" s="2" t="inlineStr">
        <is>
          <t>Billing tab</t>
        </is>
      </c>
      <c r="E18" s="2" t="inlineStr">
        <is>
          <t>Summary shown</t>
        </is>
      </c>
      <c r="F18" s="2" t="inlineStr"/>
      <c r="G18" s="2" t="inlineStr"/>
      <c r="H18" s="2" t="inlineStr"/>
    </row>
    <row r="20">
      <c r="A20" s="3" t="inlineStr">
        <is>
          <t>Total Tests</t>
        </is>
      </c>
      <c r="B20" s="4">
        <f>COUNTA(F2:F19)</f>
        <v/>
      </c>
    </row>
    <row r="21">
      <c r="A21" s="3" t="inlineStr">
        <is>
          <t>PASS</t>
        </is>
      </c>
      <c r="B21" s="4">
        <f>COUNTIF(F2:F19,"PASS")</f>
        <v/>
      </c>
    </row>
    <row r="22">
      <c r="A22" s="3" t="inlineStr">
        <is>
          <t>FAIL</t>
        </is>
      </c>
      <c r="B22" s="4">
        <f>COUNTIF(F2:F19,"FAIL")</f>
        <v/>
      </c>
    </row>
    <row r="23">
      <c r="A23" s="3" t="inlineStr">
        <is>
          <t>BLOCKED</t>
        </is>
      </c>
      <c r="B23" s="4">
        <f>COUNTIF(F2:F19,"BLOCKED")</f>
        <v/>
      </c>
    </row>
    <row r="24">
      <c r="A24" s="3" t="inlineStr">
        <is>
          <t>SKIPPED</t>
        </is>
      </c>
      <c r="B24" s="4">
        <f>COUNTIF(F2:F19,"SKIPPED")</f>
        <v/>
      </c>
    </row>
    <row r="25">
      <c r="A25" s="3" t="inlineStr">
        <is>
          <t>NOT TESTED</t>
        </is>
      </c>
      <c r="B25" s="4">
        <f>COUNTIF(F2:F19,"NOT TESTED")</f>
        <v/>
      </c>
    </row>
    <row r="26">
      <c r="A26" s="3" t="inlineStr">
        <is>
          <t>Pass Rate</t>
        </is>
      </c>
      <c r="B26" s="5">
        <f>IF(B21&gt;0,B21/B20,0)</f>
        <v/>
      </c>
    </row>
  </sheetData>
  <conditionalFormatting sqref="F2:F27">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"SKIPPED"</formula>
    </cfRule>
  </conditionalFormatting>
  <dataValidations count="1">
    <dataValidation sqref="F2 F3 F4 F5 F6 F7 F8 F9 F10 F11 F12 F13 F14 F15 F16 F17 F18 F19 F20 F21 F22 F23 F24 F25 F26 F27 F28 F29 F30 F31 F32 F33 F34 F35 F36 F37 F38 F39 F40 F41 F42 F43 F44 F45 F46 F47 F48 F49 F50 F51 F52 F53 G2 G3 G4 G5 G6 G7 G8 G9 G10 G11 G12 G13 G14 G15 G16 G17 G18 G19 G20 G21 G22 G23 G24 G25 G26 G27 G28 G29 G30 G31 G32 G33 G34 G35 G36 G37 G38 G39 G40 G41 G42 G43 G44 G45 G46 G47 G48" showDropDown="0" showInputMessage="0" showErrorMessage="0" allowBlank="1" type="list">
      <formula1>"PASS,FAIL,BLOCKED,SKIPPED,NOT TESTED"</formula1>
    </dataValidation>
  </dataValidations>
  <pageMargins left="0.75" right="0.75" top="1" bottom="1" header="0.5" footer="0.5"/>
</worksheet>
</file>

<file path=xl/worksheets/sheet9.xml><?xml version="1.0" encoding="utf-8"?>
<worksheet xmlns="http://schemas.openxmlformats.org/spreadsheetml/2006/main">
  <sheetPr>
    <tabColor rgb="001F4E79"/>
    <outlinePr summaryBelow="1" summaryRight="1"/>
    <pageSetUpPr/>
  </sheetPr>
  <dimension ref="A1:H56"/>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8" customWidth="1" min="3" max="3"/>
    <col width="42" customWidth="1" min="4" max="4"/>
    <col width="16" customWidth="1" min="5" max="5"/>
    <col width="35" customWidth="1" min="6" max="6"/>
    <col width="12" customWidth="1" min="7" max="7"/>
    <col width="25" customWidth="1" min="8" max="8"/>
  </cols>
  <sheetData>
    <row r="1">
      <c r="A1" s="1" t="inlineStr">
        <is>
          <t>Test ID</t>
        </is>
      </c>
      <c r="B1" s="1" t="inlineStr">
        <is>
          <t>Workflow</t>
        </is>
      </c>
      <c r="C1" s="1" t="inlineStr">
        <is>
          <t>Step #</t>
        </is>
      </c>
      <c r="D1" s="1" t="inlineStr">
        <is>
          <t>Action</t>
        </is>
      </c>
      <c r="E1" s="1" t="inlineStr">
        <is>
          <t>Role</t>
        </is>
      </c>
      <c r="F1" s="1" t="inlineStr">
        <is>
          <t>Expected Result</t>
        </is>
      </c>
      <c r="G1" s="1" t="inlineStr">
        <is>
          <t>Pass/Fail</t>
        </is>
      </c>
      <c r="H1" s="1" t="inlineStr">
        <is>
          <t>Notes</t>
        </is>
      </c>
    </row>
    <row r="2">
      <c r="A2" s="2" t="inlineStr">
        <is>
          <t>WF-001</t>
        </is>
      </c>
      <c r="B2" s="2" t="inlineStr">
        <is>
          <t>Happy Path (GST OFF)</t>
        </is>
      </c>
      <c r="C2" s="2" t="inlineStr">
        <is>
          <t>1</t>
        </is>
      </c>
      <c r="D2" s="2" t="inlineStr">
        <is>
          <t>Login bhargava@gasagency.com</t>
        </is>
      </c>
      <c r="E2" s="2" t="inlineStr">
        <is>
          <t>DIST_ADMIN</t>
        </is>
      </c>
      <c r="F2" s="2" t="inlineStr">
        <is>
          <t>Login OK</t>
        </is>
      </c>
      <c r="G2" s="2" t="inlineStr"/>
      <c r="H2" s="2" t="inlineStr"/>
    </row>
    <row r="3">
      <c r="A3" s="2" t="inlineStr">
        <is>
          <t>WF-002</t>
        </is>
      </c>
      <c r="B3" s="2" t="inlineStr">
        <is>
          <t>Happy Path (GST OFF)</t>
        </is>
      </c>
      <c r="C3" s="2" t="inlineStr">
        <is>
          <t>2</t>
        </is>
      </c>
      <c r="D3" s="2" t="inlineStr">
        <is>
          <t>Create: Royal Kitchen, 19KG x 5, tomorrow</t>
        </is>
      </c>
      <c r="E3" s="2" t="inlineStr">
        <is>
          <t>DIST_ADMIN</t>
        </is>
      </c>
      <c r="F3" s="2" t="inlineStr">
        <is>
          <t>pending_driver_assignment</t>
        </is>
      </c>
      <c r="G3" s="2" t="inlineStr"/>
      <c r="H3" s="2" t="inlineStr"/>
    </row>
    <row r="4">
      <c r="A4" s="2" t="inlineStr">
        <is>
          <t>WF-003</t>
        </is>
      </c>
      <c r="B4" s="2" t="inlineStr">
        <is>
          <t>Happy Path (GST OFF)</t>
        </is>
      </c>
      <c r="C4" s="2" t="inlineStr">
        <is>
          <t>3</t>
        </is>
      </c>
      <c r="D4" s="2" t="inlineStr">
        <is>
          <t>Assign Raju + TS09-AB-1234</t>
        </is>
      </c>
      <c r="E4" s="2" t="inlineStr">
        <is>
          <t>DIST_ADMIN</t>
        </is>
      </c>
      <c r="F4" s="2" t="inlineStr">
        <is>
          <t>pending_dispatch</t>
        </is>
      </c>
      <c r="G4" s="2" t="inlineStr"/>
      <c r="H4" s="2" t="inlineStr"/>
    </row>
    <row r="5">
      <c r="A5" s="2" t="inlineStr">
        <is>
          <t>WF-004</t>
        </is>
      </c>
      <c r="B5" s="2" t="inlineStr">
        <is>
          <t>Happy Path (GST OFF)</t>
        </is>
      </c>
      <c r="C5" s="2" t="inlineStr">
        <is>
          <t>4</t>
        </is>
      </c>
      <c r="D5" s="2" t="inlineStr">
        <is>
          <t>Confirm: 5 delivered, 3 empties</t>
        </is>
      </c>
      <c r="E5" s="2" t="inlineStr">
        <is>
          <t>DRIVER</t>
        </is>
      </c>
      <c r="F5" s="2" t="inlineStr">
        <is>
          <t>delivered</t>
        </is>
      </c>
      <c r="G5" s="2" t="inlineStr"/>
      <c r="H5" s="2" t="inlineStr"/>
    </row>
    <row r="6">
      <c r="A6" s="2" t="inlineStr">
        <is>
          <t>WF-005</t>
        </is>
      </c>
      <c r="B6" s="2" t="inlineStr">
        <is>
          <t>Happy Path (GST OFF)</t>
        </is>
      </c>
      <c r="C6" s="2" t="inlineStr">
        <is>
          <t>5</t>
        </is>
      </c>
      <c r="D6" s="2" t="inlineStr">
        <is>
          <t>Verify invoice: CGST=0, SGST=0, IGST=0</t>
        </is>
      </c>
      <c r="E6" s="2" t="inlineStr">
        <is>
          <t>DIST_ADMIN</t>
        </is>
      </c>
      <c r="F6" s="2" t="inlineStr">
        <is>
          <t>Auto-created, no GST</t>
        </is>
      </c>
      <c r="G6" s="2" t="inlineStr"/>
      <c r="H6" s="2" t="inlineStr"/>
    </row>
    <row r="7">
      <c r="A7" s="2" t="inlineStr">
        <is>
          <t>WF-006</t>
        </is>
      </c>
      <c r="B7" s="2" t="inlineStr">
        <is>
          <t>Happy Path (GST OFF)</t>
        </is>
      </c>
      <c r="C7" s="2" t="inlineStr">
        <is>
          <t>6</t>
        </is>
      </c>
      <c r="D7" s="2" t="inlineStr">
        <is>
          <t>Download PDF</t>
        </is>
      </c>
      <c r="E7" s="2" t="inlineStr">
        <is>
          <t>DIST_ADMIN</t>
        </is>
      </c>
      <c r="F7" s="2" t="inlineStr">
        <is>
          <t>PDF OK</t>
        </is>
      </c>
      <c r="G7" s="2" t="inlineStr"/>
      <c r="H7" s="2" t="inlineStr"/>
    </row>
    <row r="8">
      <c r="A8" s="2" t="inlineStr">
        <is>
          <t>WF-007</t>
        </is>
      </c>
      <c r="B8" s="2" t="inlineStr">
        <is>
          <t>Happy Path (GST OFF)</t>
        </is>
      </c>
      <c r="C8" s="2" t="inlineStr">
        <is>
          <t>7</t>
        </is>
      </c>
      <c r="D8" s="2" t="inlineStr">
        <is>
          <t>Record full payment (cash)</t>
        </is>
      </c>
      <c r="E8" s="2" t="inlineStr">
        <is>
          <t>FINANCE</t>
        </is>
      </c>
      <c r="F8" s="2" t="inlineStr">
        <is>
          <t>Invoice paid</t>
        </is>
      </c>
      <c r="G8" s="2" t="inlineStr"/>
      <c r="H8" s="2" t="inlineStr"/>
    </row>
    <row r="9">
      <c r="A9" s="2" t="inlineStr">
        <is>
          <t>WF-008</t>
        </is>
      </c>
      <c r="B9" s="2" t="inlineStr">
        <is>
          <t>Happy Path (GST OFF)</t>
        </is>
      </c>
      <c r="C9" s="2" t="inlineStr">
        <is>
          <t>8</t>
        </is>
      </c>
      <c r="D9" s="2" t="inlineStr">
        <is>
          <t>Check ledger: debit+credit=0</t>
        </is>
      </c>
      <c r="E9" s="2" t="inlineStr">
        <is>
          <t>FINANCE</t>
        </is>
      </c>
      <c r="F9" s="2" t="inlineStr">
        <is>
          <t>Balance 0</t>
        </is>
      </c>
      <c r="G9" s="2" t="inlineStr"/>
      <c r="H9" s="2" t="inlineStr"/>
    </row>
    <row r="10">
      <c r="A10" s="2" t="inlineStr">
        <is>
          <t>WF-009</t>
        </is>
      </c>
      <c r="B10" s="2" t="inlineStr">
        <is>
          <t>GST ON B2B Inter-state</t>
        </is>
      </c>
      <c r="C10" s="2" t="inlineStr">
        <is>
          <t>1</t>
        </is>
      </c>
      <c r="D10" s="2" t="inlineStr">
        <is>
          <t>Login sharma@gasdist.com</t>
        </is>
      </c>
      <c r="E10" s="2" t="inlineStr">
        <is>
          <t>DIST_ADMIN</t>
        </is>
      </c>
      <c r="F10" s="2" t="inlineStr">
        <is>
          <t>Login OK</t>
        </is>
      </c>
      <c r="G10" s="2" t="inlineStr"/>
      <c r="H10" s="2" t="inlineStr"/>
    </row>
    <row r="11">
      <c r="A11" s="2" t="inlineStr">
        <is>
          <t>WF-010</t>
        </is>
      </c>
      <c r="B11" s="2" t="inlineStr">
        <is>
          <t>GST ON B2B Inter-state</t>
        </is>
      </c>
      <c r="C11" s="2" t="inlineStr">
        <is>
          <t>2</t>
        </is>
      </c>
      <c r="D11" s="2" t="inlineStr">
        <is>
          <t>Order for inter-state B2B customer</t>
        </is>
      </c>
      <c r="E11" s="2" t="inlineStr">
        <is>
          <t>DIST_ADMIN</t>
        </is>
      </c>
      <c r="F11" s="2" t="inlineStr">
        <is>
          <t>Created</t>
        </is>
      </c>
      <c r="G11" s="2" t="inlineStr"/>
      <c r="H11" s="2" t="inlineStr"/>
    </row>
    <row r="12">
      <c r="A12" s="2" t="inlineStr">
        <is>
          <t>WF-011</t>
        </is>
      </c>
      <c r="B12" s="2" t="inlineStr">
        <is>
          <t>GST ON B2B Inter-state</t>
        </is>
      </c>
      <c r="C12" s="2" t="inlineStr">
        <is>
          <t>3</t>
        </is>
      </c>
      <c r="D12" s="2" t="inlineStr">
        <is>
          <t>Assign + deliver</t>
        </is>
      </c>
      <c r="E12" s="2" t="inlineStr">
        <is>
          <t>DIST_ADMIN</t>
        </is>
      </c>
      <c r="F12" s="2" t="inlineStr">
        <is>
          <t>Delivered</t>
        </is>
      </c>
      <c r="G12" s="2" t="inlineStr"/>
      <c r="H12" s="2" t="inlineStr"/>
    </row>
    <row r="13">
      <c r="A13" s="2" t="inlineStr">
        <is>
          <t>WF-012</t>
        </is>
      </c>
      <c r="B13" s="2" t="inlineStr">
        <is>
          <t>GST ON B2B Inter-state</t>
        </is>
      </c>
      <c r="C13" s="2" t="inlineStr">
        <is>
          <t>4</t>
        </is>
      </c>
      <c r="D13" s="2" t="inlineStr">
        <is>
          <t>Verify IGST only (CGST=0, SGST=0)</t>
        </is>
      </c>
      <c r="E13" s="2" t="inlineStr">
        <is>
          <t>DIST_ADMIN</t>
        </is>
      </c>
      <c r="F13" s="2" t="inlineStr">
        <is>
          <t>IGST &gt; 0</t>
        </is>
      </c>
      <c r="G13" s="2" t="inlineStr"/>
      <c r="H13" s="2" t="inlineStr"/>
    </row>
    <row r="14">
      <c r="A14" s="2" t="inlineStr">
        <is>
          <t>WF-013</t>
        </is>
      </c>
      <c r="B14" s="2" t="inlineStr">
        <is>
          <t>GST ON B2B Inter-state</t>
        </is>
      </c>
      <c r="C14" s="2" t="inlineStr">
        <is>
          <t>5</t>
        </is>
      </c>
      <c r="D14" s="2" t="inlineStr">
        <is>
          <t>Trigger IRN generation</t>
        </is>
      </c>
      <c r="E14" s="2" t="inlineStr">
        <is>
          <t>DIST_ADMIN</t>
        </is>
      </c>
      <c r="F14" s="2" t="inlineStr">
        <is>
          <t>IRN attempted</t>
        </is>
      </c>
      <c r="G14" s="2" t="inlineStr"/>
      <c r="H14" s="2" t="inlineStr"/>
    </row>
    <row r="15">
      <c r="A15" s="2" t="inlineStr">
        <is>
          <t>WF-014</t>
        </is>
      </c>
      <c r="B15" s="2" t="inlineStr">
        <is>
          <t>GST ON B2B Inter-state</t>
        </is>
      </c>
      <c r="C15" s="2" t="inlineStr">
        <is>
          <t>6</t>
        </is>
      </c>
      <c r="D15" s="2" t="inlineStr">
        <is>
          <t>Download PDF with GST fields</t>
        </is>
      </c>
      <c r="E15" s="2" t="inlineStr">
        <is>
          <t>DIST_ADMIN</t>
        </is>
      </c>
      <c r="F15" s="2" t="inlineStr">
        <is>
          <t>GSTIN, IRN, HSN shown</t>
        </is>
      </c>
      <c r="G15" s="2" t="inlineStr"/>
      <c r="H15" s="2" t="inlineStr"/>
    </row>
    <row r="16">
      <c r="A16" s="2" t="inlineStr">
        <is>
          <t>WF-015</t>
        </is>
      </c>
      <c r="B16" s="2" t="inlineStr">
        <is>
          <t>GST ON B2C Intra-state</t>
        </is>
      </c>
      <c r="C16" s="2" t="inlineStr">
        <is>
          <t>1</t>
        </is>
      </c>
      <c r="D16" s="2" t="inlineStr">
        <is>
          <t>Login sharma@gasdist.com</t>
        </is>
      </c>
      <c r="E16" s="2" t="inlineStr">
        <is>
          <t>DIST_ADMIN</t>
        </is>
      </c>
      <c r="F16" s="2" t="inlineStr">
        <is>
          <t>OK</t>
        </is>
      </c>
      <c r="G16" s="2" t="inlineStr"/>
      <c r="H16" s="2" t="inlineStr"/>
    </row>
    <row r="17">
      <c r="A17" s="2" t="inlineStr">
        <is>
          <t>WF-016</t>
        </is>
      </c>
      <c r="B17" s="2" t="inlineStr">
        <is>
          <t>GST ON B2C Intra-state</t>
        </is>
      </c>
      <c r="C17" s="2" t="inlineStr">
        <is>
          <t>2</t>
        </is>
      </c>
      <c r="D17" s="2" t="inlineStr">
        <is>
          <t>Order for B2C, same state, no GSTIN</t>
        </is>
      </c>
      <c r="E17" s="2" t="inlineStr">
        <is>
          <t>DIST_ADMIN</t>
        </is>
      </c>
      <c r="F17" s="2" t="inlineStr">
        <is>
          <t>Created</t>
        </is>
      </c>
      <c r="G17" s="2" t="inlineStr"/>
      <c r="H17" s="2" t="inlineStr"/>
    </row>
    <row r="18">
      <c r="A18" s="2" t="inlineStr">
        <is>
          <t>WF-017</t>
        </is>
      </c>
      <c r="B18" s="2" t="inlineStr">
        <is>
          <t>GST ON B2C Intra-state</t>
        </is>
      </c>
      <c r="C18" s="2" t="inlineStr">
        <is>
          <t>3</t>
        </is>
      </c>
      <c r="D18" s="2" t="inlineStr">
        <is>
          <t>Deliver + check invoice</t>
        </is>
      </c>
      <c r="E18" s="2" t="inlineStr">
        <is>
          <t>DIST_ADMIN</t>
        </is>
      </c>
      <c r="F18" s="2" t="inlineStr">
        <is>
          <t>CGST+SGST&gt;0, IGST=0</t>
        </is>
      </c>
      <c r="G18" s="2" t="inlineStr"/>
      <c r="H18" s="2" t="inlineStr"/>
    </row>
    <row r="19">
      <c r="A19" s="2" t="inlineStr">
        <is>
          <t>WF-018</t>
        </is>
      </c>
      <c r="B19" s="2" t="inlineStr">
        <is>
          <t>GST ON B2C Intra-state</t>
        </is>
      </c>
      <c r="C19" s="2" t="inlineStr">
        <is>
          <t>4</t>
        </is>
      </c>
      <c r="D19" s="2" t="inlineStr">
        <is>
          <t>Verify NO IRN for B2C</t>
        </is>
      </c>
      <c r="E19" s="2" t="inlineStr">
        <is>
          <t>DIST_ADMIN</t>
        </is>
      </c>
      <c r="F19" s="2" t="inlineStr">
        <is>
          <t>not_attempted</t>
        </is>
      </c>
      <c r="G19" s="2" t="inlineStr"/>
      <c r="H19" s="2" t="inlineStr"/>
    </row>
    <row r="20">
      <c r="A20" s="2" t="inlineStr">
        <is>
          <t>WF-019</t>
        </is>
      </c>
      <c r="B20" s="2" t="inlineStr">
        <is>
          <t>Partial Delivery</t>
        </is>
      </c>
      <c r="C20" s="2" t="inlineStr">
        <is>
          <t>1</t>
        </is>
      </c>
      <c r="D20" s="2" t="inlineStr">
        <is>
          <t>Order 19KG x 10</t>
        </is>
      </c>
      <c r="E20" s="2" t="inlineStr">
        <is>
          <t>DIST_ADMIN</t>
        </is>
      </c>
      <c r="F20" s="2" t="inlineStr">
        <is>
          <t>Created</t>
        </is>
      </c>
      <c r="G20" s="2" t="inlineStr"/>
      <c r="H20" s="2" t="inlineStr"/>
    </row>
    <row r="21">
      <c r="A21" s="2" t="inlineStr">
        <is>
          <t>WF-020</t>
        </is>
      </c>
      <c r="B21" s="2" t="inlineStr">
        <is>
          <t>Partial Delivery</t>
        </is>
      </c>
      <c r="C21" s="2" t="inlineStr">
        <is>
          <t>2</t>
        </is>
      </c>
      <c r="D21" s="2" t="inlineStr">
        <is>
          <t>Assign driver</t>
        </is>
      </c>
      <c r="E21" s="2" t="inlineStr">
        <is>
          <t>DIST_ADMIN</t>
        </is>
      </c>
      <c r="F21" s="2" t="inlineStr">
        <is>
          <t>Assigned</t>
        </is>
      </c>
      <c r="G21" s="2" t="inlineStr"/>
      <c r="H21" s="2" t="inlineStr"/>
    </row>
    <row r="22">
      <c r="A22" s="2" t="inlineStr">
        <is>
          <t>WF-021</t>
        </is>
      </c>
      <c r="B22" s="2" t="inlineStr">
        <is>
          <t>Partial Delivery</t>
        </is>
      </c>
      <c r="C22" s="2" t="inlineStr">
        <is>
          <t>3</t>
        </is>
      </c>
      <c r="D22" s="2" t="inlineStr">
        <is>
          <t>Deliver 7 of 10</t>
        </is>
      </c>
      <c r="E22" s="2" t="inlineStr">
        <is>
          <t>DRIVER</t>
        </is>
      </c>
      <c r="F22" s="2" t="inlineStr">
        <is>
          <t>modified_delivered</t>
        </is>
      </c>
      <c r="G22" s="2" t="inlineStr"/>
      <c r="H22" s="2" t="inlineStr"/>
    </row>
    <row r="23">
      <c r="A23" s="2" t="inlineStr">
        <is>
          <t>WF-022</t>
        </is>
      </c>
      <c r="B23" s="2" t="inlineStr">
        <is>
          <t>Partial Delivery</t>
        </is>
      </c>
      <c r="C23" s="2" t="inlineStr">
        <is>
          <t>4</t>
        </is>
      </c>
      <c r="D23" s="2" t="inlineStr">
        <is>
          <t>Cancelled stock = 3</t>
        </is>
      </c>
      <c r="E23" s="2" t="inlineStr">
        <is>
          <t>INVENTORY</t>
        </is>
      </c>
      <c r="F23" s="2" t="inlineStr">
        <is>
          <t>on_vehicle</t>
        </is>
      </c>
      <c r="G23" s="2" t="inlineStr"/>
      <c r="H23" s="2" t="inlineStr"/>
    </row>
    <row r="24">
      <c r="A24" s="2" t="inlineStr">
        <is>
          <t>WF-023</t>
        </is>
      </c>
      <c r="B24" s="2" t="inlineStr">
        <is>
          <t>Partial Delivery</t>
        </is>
      </c>
      <c r="C24" s="2" t="inlineStr">
        <is>
          <t>5</t>
        </is>
      </c>
      <c r="D24" s="2" t="inlineStr">
        <is>
          <t>Invoice for 7 only</t>
        </is>
      </c>
      <c r="E24" s="2" t="inlineStr">
        <is>
          <t>FINANCE</t>
        </is>
      </c>
      <c r="F24" s="2" t="inlineStr">
        <is>
          <t>Correct amount</t>
        </is>
      </c>
      <c r="G24" s="2" t="inlineStr"/>
      <c r="H24" s="2" t="inlineStr"/>
    </row>
    <row r="25">
      <c r="A25" s="2" t="inlineStr">
        <is>
          <t>WF-024</t>
        </is>
      </c>
      <c r="B25" s="2" t="inlineStr">
        <is>
          <t>Partial Delivery</t>
        </is>
      </c>
      <c r="C25" s="2" t="inlineStr">
        <is>
          <t>6</t>
        </is>
      </c>
      <c r="D25" s="2" t="inlineStr">
        <is>
          <t>Return to depot + reconcile</t>
        </is>
      </c>
      <c r="E25" s="2" t="inlineStr">
        <is>
          <t>INVENTORY</t>
        </is>
      </c>
      <c r="F25" s="2" t="inlineStr">
        <is>
          <t>Reconciled</t>
        </is>
      </c>
      <c r="G25" s="2" t="inlineStr"/>
      <c r="H25" s="2" t="inlineStr"/>
    </row>
    <row r="26">
      <c r="A26" s="2" t="inlineStr">
        <is>
          <t>WF-025</t>
        </is>
      </c>
      <c r="B26" s="2" t="inlineStr">
        <is>
          <t>Order Cancellation</t>
        </is>
      </c>
      <c r="C26" s="2" t="inlineStr">
        <is>
          <t>1</t>
        </is>
      </c>
      <c r="D26" s="2" t="inlineStr">
        <is>
          <t>Create + assign, then cancel</t>
        </is>
      </c>
      <c r="E26" s="2" t="inlineStr">
        <is>
          <t>DIST_ADMIN</t>
        </is>
      </c>
      <c r="F26" s="2" t="inlineStr">
        <is>
          <t>Cancelled</t>
        </is>
      </c>
      <c r="G26" s="2" t="inlineStr"/>
      <c r="H26" s="2" t="inlineStr"/>
    </row>
    <row r="27">
      <c r="A27" s="2" t="inlineStr">
        <is>
          <t>WF-026</t>
        </is>
      </c>
      <c r="B27" s="2" t="inlineStr">
        <is>
          <t>Order Cancellation</t>
        </is>
      </c>
      <c r="C27" s="2" t="inlineStr">
        <is>
          <t>2</t>
        </is>
      </c>
      <c r="D27" s="2" t="inlineStr">
        <is>
          <t>Verify no invoice exists</t>
        </is>
      </c>
      <c r="E27" s="2" t="inlineStr">
        <is>
          <t>FINANCE</t>
        </is>
      </c>
      <c r="F27" s="2" t="inlineStr">
        <is>
          <t>None</t>
        </is>
      </c>
      <c r="G27" s="2" t="inlineStr"/>
      <c r="H27" s="2" t="inlineStr"/>
    </row>
    <row r="28">
      <c r="A28" s="2" t="inlineStr">
        <is>
          <t>WF-027</t>
        </is>
      </c>
      <c r="B28" s="2" t="inlineStr">
        <is>
          <t>Order Cancellation</t>
        </is>
      </c>
      <c r="C28" s="2" t="inlineStr">
        <is>
          <t>3</t>
        </is>
      </c>
      <c r="D28" s="2" t="inlineStr">
        <is>
          <t>Verify inventory unchanged</t>
        </is>
      </c>
      <c r="E28" s="2" t="inlineStr">
        <is>
          <t>INVENTORY</t>
        </is>
      </c>
      <c r="F28" s="2" t="inlineStr">
        <is>
          <t>No events</t>
        </is>
      </c>
      <c r="G28" s="2" t="inlineStr"/>
      <c r="H28" s="2" t="inlineStr"/>
    </row>
    <row r="29">
      <c r="A29" s="2" t="inlineStr">
        <is>
          <t>WF-028</t>
        </is>
      </c>
      <c r="B29" s="2" t="inlineStr">
        <is>
          <t>Returns Flow</t>
        </is>
      </c>
      <c r="C29" s="2" t="inlineStr">
        <is>
          <t>1</t>
        </is>
      </c>
      <c r="D29" s="2" t="inlineStr">
        <is>
          <t>Create returns-only order</t>
        </is>
      </c>
      <c r="E29" s="2" t="inlineStr">
        <is>
          <t>DIST_ADMIN</t>
        </is>
      </c>
      <c r="F29" s="2" t="inlineStr">
        <is>
          <t>Created</t>
        </is>
      </c>
      <c r="G29" s="2" t="inlineStr"/>
      <c r="H29" s="2" t="inlineStr"/>
    </row>
    <row r="30">
      <c r="A30" s="2" t="inlineStr">
        <is>
          <t>WF-029</t>
        </is>
      </c>
      <c r="B30" s="2" t="inlineStr">
        <is>
          <t>Returns Flow</t>
        </is>
      </c>
      <c r="C30" s="2" t="inlineStr">
        <is>
          <t>2</t>
        </is>
      </c>
      <c r="D30" s="2" t="inlineStr">
        <is>
          <t>Driver collects 8 empties</t>
        </is>
      </c>
      <c r="E30" s="2" t="inlineStr">
        <is>
          <t>DRIVER</t>
        </is>
      </c>
      <c r="F30" s="2" t="inlineStr">
        <is>
          <t>Confirmed</t>
        </is>
      </c>
      <c r="G30" s="2" t="inlineStr"/>
      <c r="H30" s="2" t="inlineStr"/>
    </row>
    <row r="31">
      <c r="A31" s="2" t="inlineStr">
        <is>
          <t>WF-030</t>
        </is>
      </c>
      <c r="B31" s="2" t="inlineStr">
        <is>
          <t>Returns Flow</t>
        </is>
      </c>
      <c r="C31" s="2" t="inlineStr">
        <is>
          <t>3</t>
        </is>
      </c>
      <c r="D31" s="2" t="inlineStr">
        <is>
          <t>Customer balance -8</t>
        </is>
      </c>
      <c r="E31" s="2" t="inlineStr">
        <is>
          <t>INVENTORY</t>
        </is>
      </c>
      <c r="F31" s="2" t="inlineStr">
        <is>
          <t>Reduced</t>
        </is>
      </c>
      <c r="G31" s="2" t="inlineStr"/>
      <c r="H31" s="2" t="inlineStr"/>
    </row>
    <row r="32">
      <c r="A32" s="2" t="inlineStr">
        <is>
          <t>WF-031</t>
        </is>
      </c>
      <c r="B32" s="2" t="inlineStr">
        <is>
          <t>Returns Flow</t>
        </is>
      </c>
      <c r="C32" s="2" t="inlineStr">
        <is>
          <t>4</t>
        </is>
      </c>
      <c r="D32" s="2" t="inlineStr">
        <is>
          <t>No invoice generated</t>
        </is>
      </c>
      <c r="E32" s="2" t="inlineStr">
        <is>
          <t>FINANCE</t>
        </is>
      </c>
      <c r="F32" s="2" t="inlineStr">
        <is>
          <t>None</t>
        </is>
      </c>
      <c r="G32" s="2" t="inlineStr"/>
      <c r="H32" s="2" t="inlineStr"/>
    </row>
    <row r="33">
      <c r="A33" s="2" t="inlineStr">
        <is>
          <t>WF-032</t>
        </is>
      </c>
      <c r="B33" s="2" t="inlineStr">
        <is>
          <t>Credit Note</t>
        </is>
      </c>
      <c r="C33" s="2" t="inlineStr">
        <is>
          <t>1</t>
        </is>
      </c>
      <c r="D33" s="2" t="inlineStr">
        <is>
          <t>From invoice Rs.9000</t>
        </is>
      </c>
      <c r="E33" s="2" t="inlineStr">
        <is>
          <t>FINANCE</t>
        </is>
      </c>
      <c r="F33" s="2" t="inlineStr">
        <is>
          <t>Invoice exists</t>
        </is>
      </c>
      <c r="G33" s="2" t="inlineStr"/>
      <c r="H33" s="2" t="inlineStr"/>
    </row>
    <row r="34">
      <c r="A34" s="2" t="inlineStr">
        <is>
          <t>WF-033</t>
        </is>
      </c>
      <c r="B34" s="2" t="inlineStr">
        <is>
          <t>Credit Note</t>
        </is>
      </c>
      <c r="C34" s="2" t="inlineStr">
        <is>
          <t>2</t>
        </is>
      </c>
      <c r="D34" s="2" t="inlineStr">
        <is>
          <t>Create CN Rs.1800</t>
        </is>
      </c>
      <c r="E34" s="2" t="inlineStr">
        <is>
          <t>FINANCE</t>
        </is>
      </c>
      <c r="F34" s="2" t="inlineStr">
        <is>
          <t>Pending</t>
        </is>
      </c>
      <c r="G34" s="2" t="inlineStr"/>
      <c r="H34" s="2" t="inlineStr"/>
    </row>
    <row r="35">
      <c r="A35" s="2" t="inlineStr">
        <is>
          <t>WF-034</t>
        </is>
      </c>
      <c r="B35" s="2" t="inlineStr">
        <is>
          <t>Credit Note</t>
        </is>
      </c>
      <c r="C35" s="2" t="inlineStr">
        <is>
          <t>3</t>
        </is>
      </c>
      <c r="D35" s="2" t="inlineStr">
        <is>
          <t>Admin approves</t>
        </is>
      </c>
      <c r="E35" s="2" t="inlineStr">
        <is>
          <t>DIST_ADMIN</t>
        </is>
      </c>
      <c r="F35" s="2" t="inlineStr">
        <is>
          <t>Outstanding -1800</t>
        </is>
      </c>
      <c r="G35" s="2" t="inlineStr"/>
      <c r="H35" s="2" t="inlineStr"/>
    </row>
    <row r="36">
      <c r="A36" s="2" t="inlineStr">
        <is>
          <t>WF-035</t>
        </is>
      </c>
      <c r="B36" s="2" t="inlineStr">
        <is>
          <t>Credit Note</t>
        </is>
      </c>
      <c r="C36" s="2" t="inlineStr">
        <is>
          <t>4</t>
        </is>
      </c>
      <c r="D36" s="2" t="inlineStr">
        <is>
          <t>Ledger: credit -1800</t>
        </is>
      </c>
      <c r="E36" s="2" t="inlineStr">
        <is>
          <t>FINANCE</t>
        </is>
      </c>
      <c r="F36" s="2" t="inlineStr">
        <is>
          <t>Entry shown</t>
        </is>
      </c>
      <c r="G36" s="2" t="inlineStr"/>
      <c r="H36" s="2" t="inlineStr"/>
    </row>
    <row r="37">
      <c r="A37" s="2" t="inlineStr">
        <is>
          <t>WF-036</t>
        </is>
      </c>
      <c r="B37" s="2" t="inlineStr">
        <is>
          <t>Debit Note</t>
        </is>
      </c>
      <c r="C37" s="2" t="inlineStr">
        <is>
          <t>1</t>
        </is>
      </c>
      <c r="D37" s="2" t="inlineStr">
        <is>
          <t>Create DN Rs.500</t>
        </is>
      </c>
      <c r="E37" s="2" t="inlineStr">
        <is>
          <t>FINANCE</t>
        </is>
      </c>
      <c r="F37" s="2" t="inlineStr">
        <is>
          <t>Pending</t>
        </is>
      </c>
      <c r="G37" s="2" t="inlineStr"/>
      <c r="H37" s="2" t="inlineStr"/>
    </row>
    <row r="38">
      <c r="A38" s="2" t="inlineStr">
        <is>
          <t>WF-037</t>
        </is>
      </c>
      <c r="B38" s="2" t="inlineStr">
        <is>
          <t>Debit Note</t>
        </is>
      </c>
      <c r="C38" s="2" t="inlineStr">
        <is>
          <t>2</t>
        </is>
      </c>
      <c r="D38" s="2" t="inlineStr">
        <is>
          <t>Admin approves</t>
        </is>
      </c>
      <c r="E38" s="2" t="inlineStr">
        <is>
          <t>DIST_ADMIN</t>
        </is>
      </c>
      <c r="F38" s="2" t="inlineStr">
        <is>
          <t>Outstanding +500</t>
        </is>
      </c>
      <c r="G38" s="2" t="inlineStr"/>
      <c r="H38" s="2" t="inlineStr"/>
    </row>
    <row r="39">
      <c r="A39" s="2" t="inlineStr">
        <is>
          <t>WF-038</t>
        </is>
      </c>
      <c r="B39" s="2" t="inlineStr">
        <is>
          <t>Debit Note</t>
        </is>
      </c>
      <c r="C39" s="2" t="inlineStr">
        <is>
          <t>3</t>
        </is>
      </c>
      <c r="D39" s="2" t="inlineStr">
        <is>
          <t>Ledger: debit +500</t>
        </is>
      </c>
      <c r="E39" s="2" t="inlineStr">
        <is>
          <t>FINANCE</t>
        </is>
      </c>
      <c r="F39" s="2" t="inlineStr">
        <is>
          <t>Entry shown</t>
        </is>
      </c>
      <c r="G39" s="2" t="inlineStr"/>
      <c r="H39" s="2" t="inlineStr"/>
    </row>
    <row r="40">
      <c r="A40" s="2" t="inlineStr">
        <is>
          <t>WF-039</t>
        </is>
      </c>
      <c r="B40" s="2" t="inlineStr">
        <is>
          <t>Customer Portal Order</t>
        </is>
      </c>
      <c r="C40" s="2" t="inlineStr">
        <is>
          <t>1</t>
        </is>
      </c>
      <c r="D40" s="2" t="inlineStr">
        <is>
          <t>Customer logs in + places order</t>
        </is>
      </c>
      <c r="E40" s="2" t="inlineStr">
        <is>
          <t>CUSTOMER</t>
        </is>
      </c>
      <c r="F40" s="2" t="inlineStr">
        <is>
          <t>Created</t>
        </is>
      </c>
      <c r="G40" s="2" t="inlineStr"/>
      <c r="H40" s="2" t="inlineStr"/>
    </row>
    <row r="41">
      <c r="A41" s="2" t="inlineStr">
        <is>
          <t>WF-040</t>
        </is>
      </c>
      <c r="B41" s="2" t="inlineStr">
        <is>
          <t>Customer Portal Order</t>
        </is>
      </c>
      <c r="C41" s="2" t="inlineStr">
        <is>
          <t>2</t>
        </is>
      </c>
      <c r="D41" s="2" t="inlineStr">
        <is>
          <t>Admin assigns + delivers</t>
        </is>
      </c>
      <c r="E41" s="2" t="inlineStr">
        <is>
          <t>DIST_ADMIN</t>
        </is>
      </c>
      <c r="F41" s="2" t="inlineStr">
        <is>
          <t>Delivered</t>
        </is>
      </c>
      <c r="G41" s="2" t="inlineStr"/>
      <c r="H41" s="2" t="inlineStr"/>
    </row>
    <row r="42">
      <c r="A42" s="2" t="inlineStr">
        <is>
          <t>WF-041</t>
        </is>
      </c>
      <c r="B42" s="2" t="inlineStr">
        <is>
          <t>Customer Portal Order</t>
        </is>
      </c>
      <c r="C42" s="2" t="inlineStr">
        <is>
          <t>3</t>
        </is>
      </c>
      <c r="D42" s="2" t="inlineStr">
        <is>
          <t>Customer confirms</t>
        </is>
      </c>
      <c r="E42" s="2" t="inlineStr">
        <is>
          <t>CUSTOMER</t>
        </is>
      </c>
      <c r="F42" s="2" t="inlineStr">
        <is>
          <t>Confirmed</t>
        </is>
      </c>
      <c r="G42" s="2" t="inlineStr"/>
      <c r="H42" s="2" t="inlineStr"/>
    </row>
    <row r="43">
      <c r="A43" s="2" t="inlineStr">
        <is>
          <t>WF-042</t>
        </is>
      </c>
      <c r="B43" s="2" t="inlineStr">
        <is>
          <t>Customer Dispute</t>
        </is>
      </c>
      <c r="C43" s="2" t="inlineStr">
        <is>
          <t>1</t>
        </is>
      </c>
      <c r="D43" s="2" t="inlineStr">
        <is>
          <t>Driver: 5, Customer: 4</t>
        </is>
      </c>
      <c r="E43" s="2" t="inlineStr">
        <is>
          <t>CUSTOMER</t>
        </is>
      </c>
      <c r="F43" s="2" t="inlineStr">
        <is>
          <t>Dispute recorded</t>
        </is>
      </c>
      <c r="G43" s="2" t="inlineStr"/>
      <c r="H43" s="2" t="inlineStr"/>
    </row>
    <row r="44">
      <c r="A44" s="2" t="inlineStr">
        <is>
          <t>WF-043</t>
        </is>
      </c>
      <c r="B44" s="2" t="inlineStr">
        <is>
          <t>Customer Dispute</t>
        </is>
      </c>
      <c r="C44" s="2" t="inlineStr">
        <is>
          <t>2</t>
        </is>
      </c>
      <c r="D44" s="2" t="inlineStr">
        <is>
          <t>Invoice regenerated for 4</t>
        </is>
      </c>
      <c r="E44" s="2" t="inlineStr">
        <is>
          <t>FINANCE</t>
        </is>
      </c>
      <c r="F44" s="2" t="inlineStr">
        <is>
          <t>Recalculated</t>
        </is>
      </c>
      <c r="G44" s="2" t="inlineStr"/>
      <c r="H44" s="2" t="inlineStr"/>
    </row>
    <row r="45">
      <c r="A45" s="2" t="inlineStr">
        <is>
          <t>WF-044</t>
        </is>
      </c>
      <c r="B45" s="2" t="inlineStr">
        <is>
          <t>Vehicle Reconciliation</t>
        </is>
      </c>
      <c r="C45" s="2" t="inlineStr">
        <is>
          <t>1</t>
        </is>
      </c>
      <c r="D45" s="2" t="inlineStr">
        <is>
          <t>Multiple partial deliveries</t>
        </is>
      </c>
      <c r="E45" s="2" t="inlineStr">
        <is>
          <t>DRIVER</t>
        </is>
      </c>
      <c r="F45" s="2" t="inlineStr">
        <is>
          <t>Done</t>
        </is>
      </c>
      <c r="G45" s="2" t="inlineStr"/>
      <c r="H45" s="2" t="inlineStr"/>
    </row>
    <row r="46">
      <c r="A46" s="2" t="inlineStr">
        <is>
          <t>WF-045</t>
        </is>
      </c>
      <c r="B46" s="2" t="inlineStr">
        <is>
          <t>Vehicle Reconciliation</t>
        </is>
      </c>
      <c r="C46" s="2" t="inlineStr">
        <is>
          <t>2</t>
        </is>
      </c>
      <c r="D46" s="2" t="inlineStr">
        <is>
          <t>Driver marks returned</t>
        </is>
      </c>
      <c r="E46" s="2" t="inlineStr">
        <is>
          <t>DRIVER</t>
        </is>
      </c>
      <c r="F46" s="2" t="inlineStr">
        <is>
          <t>Returned</t>
        </is>
      </c>
      <c r="G46" s="2" t="inlineStr"/>
      <c r="H46" s="2" t="inlineStr"/>
    </row>
    <row r="47">
      <c r="A47" s="2" t="inlineStr">
        <is>
          <t>WF-046</t>
        </is>
      </c>
      <c r="B47" s="2" t="inlineStr">
        <is>
          <t>Vehicle Reconciliation</t>
        </is>
      </c>
      <c r="C47" s="2" t="inlineStr">
        <is>
          <t>3</t>
        </is>
      </c>
      <c r="D47" s="2" t="inlineStr">
        <is>
          <t>Inventory reconciles</t>
        </is>
      </c>
      <c r="E47" s="2" t="inlineStr">
        <is>
          <t>INVENTORY</t>
        </is>
      </c>
      <c r="F47" s="2" t="inlineStr">
        <is>
          <t>Reconciled</t>
        </is>
      </c>
      <c r="G47" s="2" t="inlineStr"/>
      <c r="H47" s="2" t="inlineStr"/>
    </row>
    <row r="48">
      <c r="A48" s="2" t="inlineStr">
        <is>
          <t>WF-047</t>
        </is>
      </c>
      <c r="B48" s="2" t="inlineStr">
        <is>
          <t>Vehicle Reconciliation</t>
        </is>
      </c>
      <c r="C48" s="2" t="inlineStr">
        <is>
          <t>4</t>
        </is>
      </c>
      <c r="D48" s="2" t="inlineStr">
        <is>
          <t>Assignment closed</t>
        </is>
      </c>
      <c r="E48" s="2" t="inlineStr">
        <is>
          <t>DIST_ADMIN</t>
        </is>
      </c>
      <c r="F48" s="2" t="inlineStr">
        <is>
          <t>Complete</t>
        </is>
      </c>
      <c r="G48" s="2" t="inlineStr"/>
      <c r="H48" s="2" t="inlineStr"/>
    </row>
    <row r="50">
      <c r="A50" s="3" t="inlineStr">
        <is>
          <t>Total Tests</t>
        </is>
      </c>
      <c r="B50" s="4">
        <f>COUNTA(G2:G49)</f>
        <v/>
      </c>
    </row>
    <row r="51">
      <c r="A51" s="3" t="inlineStr">
        <is>
          <t>PASS</t>
        </is>
      </c>
      <c r="B51" s="4">
        <f>COUNTIF(G2:G49,"PASS")</f>
        <v/>
      </c>
    </row>
    <row r="52">
      <c r="A52" s="3" t="inlineStr">
        <is>
          <t>FAIL</t>
        </is>
      </c>
      <c r="B52" s="4">
        <f>COUNTIF(G2:G49,"FAIL")</f>
        <v/>
      </c>
    </row>
    <row r="53">
      <c r="A53" s="3" t="inlineStr">
        <is>
          <t>BLOCKED</t>
        </is>
      </c>
      <c r="B53" s="4">
        <f>COUNTIF(G2:G49,"BLOCKED")</f>
        <v/>
      </c>
    </row>
    <row r="54">
      <c r="A54" s="3" t="inlineStr">
        <is>
          <t>SKIPPED</t>
        </is>
      </c>
      <c r="B54" s="4">
        <f>COUNTIF(G2:G49,"SKIPPED")</f>
        <v/>
      </c>
    </row>
    <row r="55">
      <c r="A55" s="3" t="inlineStr">
        <is>
          <t>NOT TESTED</t>
        </is>
      </c>
      <c r="B55" s="4">
        <f>COUNTIF(G2:G49,"NOT TESTED")</f>
        <v/>
      </c>
    </row>
    <row r="56">
      <c r="A56" s="3" t="inlineStr">
        <is>
          <t>Pass Rate</t>
        </is>
      </c>
      <c r="B56" s="5">
        <f>IF(B51&gt;0,B51/B50,0)</f>
        <v/>
      </c>
    </row>
  </sheetData>
  <conditionalFormatting sqref="G2:G57">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"SKIPPED"</formula>
    </cfRule>
  </conditionalFormatting>
  <dataValidations count="1">
    <dataValidation sqref="F2 F3 F4 F5 F6 F7 F8 F9 F10 F11 F12 F13 F14 F15 F16 F17 F18 F19 F20 F21 F22 F23 F24 F25 F26 F27 F28 F29 F30 F31 F32 F33 F34 F35 F36 F37 F38 F39 F40 F41 F42 F43 F44 F45 F46 F47 F48 F49 F50 F51 F52 F53 G2 G3 G4 G5 G6 G7 G8 G9 G10 G11 G12 G13 G14 G15 G16 G17 G18 G19 G20 G21 G22 G23 G24 G25 G26 G27 G28 G29 G30 G31 G32 G33 G34 G35 G36 G37 G38 G39 G40 G41 G42 G43 G44 G45 G46 G47 G48" showDropDown="0" showInputMessage="0" showErrorMessage="0" allowBlank="1" type="list">
      <formula1>"PASS,FAIL,BLOCKED,SKIPPED,NOT TESTED"</formula1>
    </dataValidation>
  </dataValidations>
  <pageMargins left="0.75" right="0.75" top="1" bottom="1" header="0.5" footer="0.5"/>
</worksheet>
</file>

<file path=xl/worksheets/sheet10.xml><?xml version="1.0" encoding="utf-8"?>
<worksheet xmlns="http://schemas.openxmlformats.org/spreadsheetml/2006/main">
  <sheetPr>
    <tabColor rgb="001F4E79"/>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8" customWidth="1" min="3" max="3"/>
    <col width="42" customWidth="1" min="4" max="4"/>
    <col width="16" customWidth="1" min="5" max="5"/>
    <col width="35" customWidth="1" min="6" max="6"/>
    <col width="12" customWidth="1" min="7" max="7"/>
    <col width="25" customWidth="1" min="8" max="8"/>
  </cols>
  <sheetData>
    <row r="1">
      <c r="A1" s="1" t="inlineStr">
        <is>
          <t>Test ID</t>
        </is>
      </c>
      <c r="B1" s="1" t="inlineStr">
        <is>
          <t>Workflow</t>
        </is>
      </c>
      <c r="C1" s="1" t="inlineStr">
        <is>
          <t>Step #</t>
        </is>
      </c>
      <c r="D1" s="1" t="inlineStr">
        <is>
          <t>Action</t>
        </is>
      </c>
      <c r="E1" s="1" t="inlineStr">
        <is>
          <t>Role</t>
        </is>
      </c>
      <c r="F1" s="1" t="inlineStr">
        <is>
          <t>Expected Result</t>
        </is>
      </c>
      <c r="G1" s="1" t="inlineStr">
        <is>
          <t>Pass/Fail</t>
        </is>
      </c>
      <c r="H1" s="1" t="inlineStr">
        <is>
          <t>Notes</t>
        </is>
      </c>
    </row>
    <row r="2">
      <c r="A2" s="2" t="inlineStr">
        <is>
          <t>IC-001</t>
        </is>
      </c>
      <c r="B2" s="2" t="inlineStr">
        <is>
          <t>Daily Cycle</t>
        </is>
      </c>
      <c r="C2" s="2" t="inlineStr">
        <is>
          <t>1</t>
        </is>
      </c>
      <c r="D2" s="2" t="inlineStr">
        <is>
          <t>Note opening balance</t>
        </is>
      </c>
      <c r="E2" s="2" t="inlineStr">
        <is>
          <t>INVENTORY</t>
        </is>
      </c>
      <c r="F2" s="2" t="inlineStr">
        <is>
          <t>Opening=prev closing</t>
        </is>
      </c>
      <c r="G2" s="2" t="inlineStr"/>
      <c r="H2" s="2" t="inlineStr"/>
    </row>
    <row r="3">
      <c r="A3" s="2" t="inlineStr">
        <is>
          <t>IC-002</t>
        </is>
      </c>
      <c r="B3" s="2" t="inlineStr">
        <is>
          <t>Daily Cycle</t>
        </is>
      </c>
      <c r="C3" s="2" t="inlineStr">
        <is>
          <t>2</t>
        </is>
      </c>
      <c r="D3" s="2" t="inlineStr">
        <is>
          <t>Incoming: 19KG x 100</t>
        </is>
      </c>
      <c r="E3" s="2" t="inlineStr">
        <is>
          <t>INVENTORY</t>
        </is>
      </c>
      <c r="F3" s="2" t="inlineStr">
        <is>
          <t>Stock increases</t>
        </is>
      </c>
      <c r="G3" s="2" t="inlineStr"/>
      <c r="H3" s="2" t="inlineStr"/>
    </row>
    <row r="4">
      <c r="A4" s="2" t="inlineStr">
        <is>
          <t>IC-003</t>
        </is>
      </c>
      <c r="B4" s="2" t="inlineStr">
        <is>
          <t>Daily Cycle</t>
        </is>
      </c>
      <c r="C4" s="2" t="inlineStr">
        <is>
          <t>3</t>
        </is>
      </c>
      <c r="D4" s="2" t="inlineStr">
        <is>
          <t>Create+dispatch orders</t>
        </is>
      </c>
      <c r="E4" s="2" t="inlineStr">
        <is>
          <t>DIST_ADMIN</t>
        </is>
      </c>
      <c r="F4" s="2" t="inlineStr">
        <is>
          <t>Vehicle loaded</t>
        </is>
      </c>
      <c r="G4" s="2" t="inlineStr"/>
      <c r="H4" s="2" t="inlineStr"/>
    </row>
    <row r="5">
      <c r="A5" s="2" t="inlineStr">
        <is>
          <t>IC-004</t>
        </is>
      </c>
      <c r="B5" s="2" t="inlineStr">
        <is>
          <t>Daily Cycle</t>
        </is>
      </c>
      <c r="C5" s="2" t="inlineStr">
        <is>
          <t>4</t>
        </is>
      </c>
      <c r="D5" s="2" t="inlineStr">
        <is>
          <t>Complete deliveries</t>
        </is>
      </c>
      <c r="E5" s="2" t="inlineStr">
        <is>
          <t>DRIVER</t>
        </is>
      </c>
      <c r="F5" s="2" t="inlineStr">
        <is>
          <t>Events created</t>
        </is>
      </c>
      <c r="G5" s="2" t="inlineStr"/>
      <c r="H5" s="2" t="inlineStr"/>
    </row>
    <row r="6">
      <c r="A6" s="2" t="inlineStr">
        <is>
          <t>IC-005</t>
        </is>
      </c>
      <c r="B6" s="2" t="inlineStr">
        <is>
          <t>Daily Cycle</t>
        </is>
      </c>
      <c r="C6" s="2" t="inlineStr">
        <is>
          <t>5</t>
        </is>
      </c>
      <c r="D6" s="2" t="inlineStr">
        <is>
          <t>Outgoing empties: 40</t>
        </is>
      </c>
      <c r="E6" s="2" t="inlineStr">
        <is>
          <t>INVENTORY</t>
        </is>
      </c>
      <c r="F6" s="2" t="inlineStr">
        <is>
          <t>Returned</t>
        </is>
      </c>
      <c r="G6" s="2" t="inlineStr"/>
      <c r="H6" s="2" t="inlineStr"/>
    </row>
    <row r="7">
      <c r="A7" s="2" t="inlineStr">
        <is>
          <t>IC-006</t>
        </is>
      </c>
      <c r="B7" s="2" t="inlineStr">
        <is>
          <t>Daily Cycle</t>
        </is>
      </c>
      <c r="C7" s="2" t="inlineStr">
        <is>
          <t>6</t>
        </is>
      </c>
      <c r="D7" s="2" t="inlineStr">
        <is>
          <t>Verify closing</t>
        </is>
      </c>
      <c r="E7" s="2" t="inlineStr">
        <is>
          <t>INVENTORY</t>
        </is>
      </c>
      <c r="F7" s="2" t="inlineStr">
        <is>
          <t>Open+In-Del-Out</t>
        </is>
      </c>
      <c r="G7" s="2" t="inlineStr"/>
      <c r="H7" s="2" t="inlineStr"/>
    </row>
    <row r="8">
      <c r="A8" s="2" t="inlineStr">
        <is>
          <t>IC-007</t>
        </is>
      </c>
      <c r="B8" s="2" t="inlineStr">
        <is>
          <t>Daily Cycle</t>
        </is>
      </c>
      <c r="C8" s="2" t="inlineStr">
        <is>
          <t>7</t>
        </is>
      </c>
      <c r="D8" s="2" t="inlineStr">
        <is>
          <t>Lock day</t>
        </is>
      </c>
      <c r="E8" s="2" t="inlineStr">
        <is>
          <t>DIST_ADMIN</t>
        </is>
      </c>
      <c r="F8" s="2" t="inlineStr">
        <is>
          <t>Locked</t>
        </is>
      </c>
      <c r="G8" s="2" t="inlineStr"/>
      <c r="H8" s="2" t="inlineStr"/>
    </row>
    <row r="9">
      <c r="A9" s="2" t="inlineStr">
        <is>
          <t>IC-008</t>
        </is>
      </c>
      <c r="B9" s="2" t="inlineStr">
        <is>
          <t>Cancelled Stock</t>
        </is>
      </c>
      <c r="C9" s="2" t="inlineStr">
        <is>
          <t>1</t>
        </is>
      </c>
      <c r="D9" s="2" t="inlineStr">
        <is>
          <t>Order 10, deliver 7</t>
        </is>
      </c>
      <c r="E9" s="2" t="inlineStr">
        <is>
          <t>DRIVER</t>
        </is>
      </c>
      <c r="F9" s="2" t="inlineStr">
        <is>
          <t>Cancelled=3</t>
        </is>
      </c>
      <c r="G9" s="2" t="inlineStr"/>
      <c r="H9" s="2" t="inlineStr"/>
    </row>
    <row r="10">
      <c r="A10" s="2" t="inlineStr">
        <is>
          <t>IC-009</t>
        </is>
      </c>
      <c r="B10" s="2" t="inlineStr">
        <is>
          <t>Cancelled Stock</t>
        </is>
      </c>
      <c r="C10" s="2" t="inlineStr">
        <is>
          <t>2</t>
        </is>
      </c>
      <c r="D10" s="2" t="inlineStr">
        <is>
          <t>Vehicle returns</t>
        </is>
      </c>
      <c r="E10" s="2" t="inlineStr">
        <is>
          <t>DRIVER</t>
        </is>
      </c>
      <c r="F10" s="2" t="inlineStr">
        <is>
          <t>Returned</t>
        </is>
      </c>
      <c r="G10" s="2" t="inlineStr"/>
      <c r="H10" s="2" t="inlineStr"/>
    </row>
    <row r="11">
      <c r="A11" s="2" t="inlineStr">
        <is>
          <t>IC-010</t>
        </is>
      </c>
      <c r="B11" s="2" t="inlineStr">
        <is>
          <t>Cancelled Stock</t>
        </is>
      </c>
      <c r="C11" s="2" t="inlineStr">
        <is>
          <t>3</t>
        </is>
      </c>
      <c r="D11" s="2" t="inlineStr">
        <is>
          <t>Return to depot</t>
        </is>
      </c>
      <c r="E11" s="2" t="inlineStr">
        <is>
          <t>INVENTORY</t>
        </is>
      </c>
      <c r="F11" s="2" t="inlineStr">
        <is>
          <t>returned_to_depot</t>
        </is>
      </c>
      <c r="G11" s="2" t="inlineStr"/>
      <c r="H11" s="2" t="inlineStr"/>
    </row>
    <row r="12">
      <c r="A12" s="2" t="inlineStr">
        <is>
          <t>IC-011</t>
        </is>
      </c>
      <c r="B12" s="2" t="inlineStr">
        <is>
          <t>Cancelled Stock</t>
        </is>
      </c>
      <c r="C12" s="2" t="inlineStr">
        <is>
          <t>4</t>
        </is>
      </c>
      <c r="D12" s="2" t="inlineStr">
        <is>
          <t>Reconcile</t>
        </is>
      </c>
      <c r="E12" s="2" t="inlineStr">
        <is>
          <t>INVENTORY</t>
        </is>
      </c>
      <c r="F12" s="2" t="inlineStr">
        <is>
          <t>Reconciled</t>
        </is>
      </c>
      <c r="G12" s="2" t="inlineStr"/>
      <c r="H12" s="2" t="inlineStr"/>
    </row>
    <row r="13">
      <c r="A13" s="2" t="inlineStr">
        <is>
          <t>IC-012</t>
        </is>
      </c>
      <c r="B13" s="2" t="inlineStr">
        <is>
          <t>Thresholds</t>
        </is>
      </c>
      <c r="C13" s="2" t="inlineStr">
        <is>
          <t>1</t>
        </is>
      </c>
      <c r="D13" s="2" t="inlineStr">
        <is>
          <t>Set critical=20</t>
        </is>
      </c>
      <c r="E13" s="2" t="inlineStr">
        <is>
          <t>DIST_ADMIN</t>
        </is>
      </c>
      <c r="F13" s="2" t="inlineStr">
        <is>
          <t>Saved</t>
        </is>
      </c>
      <c r="G13" s="2" t="inlineStr"/>
      <c r="H13" s="2" t="inlineStr"/>
    </row>
    <row r="14">
      <c r="A14" s="2" t="inlineStr">
        <is>
          <t>IC-013</t>
        </is>
      </c>
      <c r="B14" s="2" t="inlineStr">
        <is>
          <t>Thresholds</t>
        </is>
      </c>
      <c r="C14" s="2" t="inlineStr">
        <is>
          <t>2</t>
        </is>
      </c>
      <c r="D14" s="2" t="inlineStr">
        <is>
          <t>Deplete below 20</t>
        </is>
      </c>
      <c r="E14" s="2" t="inlineStr">
        <is>
          <t>INVENTORY</t>
        </is>
      </c>
      <c r="F14" s="2" t="inlineStr">
        <is>
          <t>Critical alert</t>
        </is>
      </c>
      <c r="G14" s="2" t="inlineStr"/>
      <c r="H14" s="2" t="inlineStr"/>
    </row>
    <row r="15">
      <c r="A15" s="2" t="inlineStr">
        <is>
          <t>IC-014</t>
        </is>
      </c>
      <c r="B15" s="2" t="inlineStr">
        <is>
          <t>Thresholds</t>
        </is>
      </c>
      <c r="C15" s="2" t="inlineStr">
        <is>
          <t>3</t>
        </is>
      </c>
      <c r="D15" s="2" t="inlineStr">
        <is>
          <t>Warning=50, stock 20-50</t>
        </is>
      </c>
      <c r="E15" s="2" t="inlineStr">
        <is>
          <t>DIST_ADMIN</t>
        </is>
      </c>
      <c r="F15" s="2" t="inlineStr">
        <is>
          <t>Warning badge</t>
        </is>
      </c>
      <c r="G15" s="2" t="inlineStr"/>
      <c r="H15" s="2" t="inlineStr"/>
    </row>
    <row r="17">
      <c r="A17" s="3" t="inlineStr">
        <is>
          <t>Total Tests</t>
        </is>
      </c>
      <c r="B17" s="4">
        <f>COUNTA(G2:G16)</f>
        <v/>
      </c>
    </row>
    <row r="18">
      <c r="A18" s="3" t="inlineStr">
        <is>
          <t>PASS</t>
        </is>
      </c>
      <c r="B18" s="4">
        <f>COUNTIF(G2:G16,"PASS")</f>
        <v/>
      </c>
    </row>
    <row r="19">
      <c r="A19" s="3" t="inlineStr">
        <is>
          <t>FAIL</t>
        </is>
      </c>
      <c r="B19" s="4">
        <f>COUNTIF(G2:G16,"FAIL")</f>
        <v/>
      </c>
    </row>
    <row r="20">
      <c r="A20" s="3" t="inlineStr">
        <is>
          <t>BLOCKED</t>
        </is>
      </c>
      <c r="B20" s="4">
        <f>COUNTIF(G2:G16,"BLOCKED")</f>
        <v/>
      </c>
    </row>
    <row r="21">
      <c r="A21" s="3" t="inlineStr">
        <is>
          <t>SKIPPED</t>
        </is>
      </c>
      <c r="B21" s="4">
        <f>COUNTIF(G2:G16,"SKIPPED")</f>
        <v/>
      </c>
    </row>
    <row r="22">
      <c r="A22" s="3" t="inlineStr">
        <is>
          <t>NOT TESTED</t>
        </is>
      </c>
      <c r="B22" s="4">
        <f>COUNTIF(G2:G16,"NOT TESTED")</f>
        <v/>
      </c>
    </row>
    <row r="23">
      <c r="A23" s="3" t="inlineStr">
        <is>
          <t>Pass Rate</t>
        </is>
      </c>
      <c r="B23" s="5">
        <f>IF(B18&gt;0,B18/B17,0)</f>
        <v/>
      </c>
    </row>
  </sheetData>
  <conditionalFormatting sqref="G2:G24">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"SKIPPED"</formula>
    </cfRule>
  </conditionalFormatting>
  <dataValidations count="1">
    <dataValidation sqref="F2 F3 F4 F5 F6 F7 F8 F9 F10 F11 F12 F13 F14 F15 F16 F17 F18 F19 F20 F21 F22 F23 F24 F25 F26 F27 F28 F29 F30 F31 F32 F33 F34 F35 F36 F37 F38 F39 F40 F41 F42 F43 F44 F45 F46 F47 F48 F49 F50 F51 F52 F53 G2 G3 G4 G5 G6 G7 G8 G9 G10 G11 G12 G13 G14 G15 G16 G17 G18 G19 G20 G21 G22 G23 G24 G25 G26 G27 G28 G29 G30 G31 G32 G33 G34 G35 G36 G37 G38 G39 G40 G41 G42 G43 G44 G45 G46 G47 G48" showDropDown="0" showInputMessage="0" showErrorMessage="0" allowBlank="1" type="list">
      <formula1>"PASS,FAIL,BLOCKED,SKIPPED,NOT TESTED"</formula1>
    </dataValidation>
  </dataValidations>
  <pageMargins left="0.75" right="0.75" top="1" bottom="1" header="0.5" footer="0.5"/>
</worksheet>
</file>

<file path=xl/worksheets/sheet11.xml><?xml version="1.0" encoding="utf-8"?>
<worksheet xmlns="http://schemas.openxmlformats.org/spreadsheetml/2006/main">
  <sheetPr>
    <tabColor rgb="001F4E79"/>
    <outlinePr summaryBelow="1" summaryRight="1"/>
    <pageSetUpPr/>
  </sheetPr>
  <dimension ref="A1:H27"/>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25" customWidth="1" min="3" max="3"/>
    <col width="40" customWidth="1" min="4" max="4"/>
    <col width="30" customWidth="1" min="5" max="5"/>
    <col width="12" customWidth="1" min="6" max="6"/>
    <col width="30" customWidth="1" min="7" max="7"/>
    <col width="25" customWidth="1" min="8" max="8"/>
  </cols>
  <sheetData>
    <row r="1">
      <c r="A1" s="1" t="inlineStr">
        <is>
          <t>Test ID</t>
        </is>
      </c>
      <c r="B1" s="1" t="inlineStr">
        <is>
          <t>Test Case</t>
        </is>
      </c>
      <c r="C1" s="1" t="inlineStr">
        <is>
          <t>Precondition</t>
        </is>
      </c>
      <c r="D1" s="1" t="inlineStr">
        <is>
          <t>Steps</t>
        </is>
      </c>
      <c r="E1" s="1" t="inlineStr">
        <is>
          <t>Expected Result</t>
        </is>
      </c>
      <c r="F1" s="1" t="inlineStr">
        <is>
          <t>Pass/Fail</t>
        </is>
      </c>
      <c r="G1" s="1" t="inlineStr">
        <is>
          <t>Actual Result</t>
        </is>
      </c>
      <c r="H1" s="1" t="inlineStr">
        <is>
          <t>Notes</t>
        </is>
      </c>
    </row>
    <row r="2">
      <c r="A2" s="2" t="inlineStr">
        <is>
          <t>CP-001</t>
        </is>
      </c>
      <c r="B2" s="2" t="inlineStr">
        <is>
          <t>Login</t>
        </is>
      </c>
      <c r="C2" s="2" t="inlineStr">
        <is>
          <t>Portal provisioned</t>
        </is>
      </c>
      <c r="D2" s="2" t="inlineStr">
        <is>
          <t>Enter creds &gt; Submit</t>
        </is>
      </c>
      <c r="E2" s="2" t="inlineStr">
        <is>
          <t>Dashboard shown</t>
        </is>
      </c>
      <c r="F2" s="2" t="inlineStr"/>
      <c r="G2" s="2" t="inlineStr"/>
      <c r="H2" s="2" t="inlineStr"/>
    </row>
    <row r="3">
      <c r="A3" s="2" t="inlineStr">
        <is>
          <t>CP-002</t>
        </is>
      </c>
      <c r="B3" s="2" t="inlineStr">
        <is>
          <t>Dashboard KPIs</t>
        </is>
      </c>
      <c r="C3" s="2" t="inlineStr">
        <is>
          <t>Logged in</t>
        </is>
      </c>
      <c r="D3" s="2" t="inlineStr">
        <is>
          <t>Check KPIs</t>
        </is>
      </c>
      <c r="E3" s="2" t="inlineStr">
        <is>
          <t>Orders, Invoices, Outstanding</t>
        </is>
      </c>
      <c r="F3" s="2" t="inlineStr"/>
      <c r="G3" s="2" t="inlineStr"/>
      <c r="H3" s="2" t="inlineStr"/>
    </row>
    <row r="4">
      <c r="A4" s="2" t="inlineStr">
        <is>
          <t>CP-003</t>
        </is>
      </c>
      <c r="B4" s="2" t="inlineStr">
        <is>
          <t>Recent orders</t>
        </is>
      </c>
      <c r="C4" s="2" t="inlineStr">
        <is>
          <t>Has orders</t>
        </is>
      </c>
      <c r="D4" s="2" t="inlineStr">
        <is>
          <t>Check section</t>
        </is>
      </c>
      <c r="E4" s="2" t="inlineStr">
        <is>
          <t>Up to 5 shown</t>
        </is>
      </c>
      <c r="F4" s="2" t="inlineStr"/>
      <c r="G4" s="2" t="inlineStr"/>
      <c r="H4" s="2" t="inlineStr"/>
    </row>
    <row r="5">
      <c r="A5" s="2" t="inlineStr">
        <is>
          <t>CP-004</t>
        </is>
      </c>
      <c r="B5" s="2" t="inlineStr">
        <is>
          <t>Place order</t>
        </is>
      </c>
      <c r="C5" s="2" t="inlineStr">
        <is>
          <t>Logged in</t>
        </is>
      </c>
      <c r="D5" s="2" t="inlineStr">
        <is>
          <t>Create &gt; 19KG x 3 &gt; Submit</t>
        </is>
      </c>
      <c r="E5" s="2" t="inlineStr">
        <is>
          <t>Placed</t>
        </is>
      </c>
      <c r="F5" s="2" t="inlineStr"/>
      <c r="G5" s="2" t="inlineStr"/>
      <c r="H5" s="2" t="inlineStr"/>
    </row>
    <row r="6">
      <c r="A6" s="2" t="inlineStr">
        <is>
          <t>CP-005</t>
        </is>
      </c>
      <c r="B6" s="2" t="inlineStr">
        <is>
          <t>Order validation</t>
        </is>
      </c>
      <c r="C6" s="2" t="inlineStr">
        <is>
          <t>Logged in</t>
        </is>
      </c>
      <c r="D6" s="2" t="inlineStr">
        <is>
          <t>Submit empty</t>
        </is>
      </c>
      <c r="E6" s="2" t="inlineStr">
        <is>
          <t>Error</t>
        </is>
      </c>
      <c r="F6" s="2" t="inlineStr"/>
      <c r="G6" s="2" t="inlineStr"/>
      <c r="H6" s="2" t="inlineStr"/>
    </row>
    <row r="7">
      <c r="A7" s="2" t="inlineStr">
        <is>
          <t>CP-006</t>
        </is>
      </c>
      <c r="B7" s="2" t="inlineStr">
        <is>
          <t>Orders list</t>
        </is>
      </c>
      <c r="C7" s="2" t="inlineStr">
        <is>
          <t>Has orders</t>
        </is>
      </c>
      <c r="D7" s="2" t="inlineStr">
        <is>
          <t>Orders page</t>
        </is>
      </c>
      <c r="E7" s="2" t="inlineStr">
        <is>
          <t>List with status</t>
        </is>
      </c>
      <c r="F7" s="2" t="inlineStr"/>
      <c r="G7" s="2" t="inlineStr"/>
      <c r="H7" s="2" t="inlineStr"/>
    </row>
    <row r="8">
      <c r="A8" s="2" t="inlineStr">
        <is>
          <t>CP-007</t>
        </is>
      </c>
      <c r="B8" s="2" t="inlineStr">
        <is>
          <t>Order detail</t>
        </is>
      </c>
      <c r="C8" s="2" t="inlineStr">
        <is>
          <t>Order exists</t>
        </is>
      </c>
      <c r="D8" s="2" t="inlineStr">
        <is>
          <t>Click order</t>
        </is>
      </c>
      <c r="E8" s="2" t="inlineStr">
        <is>
          <t>Full detail</t>
        </is>
      </c>
      <c r="F8" s="2" t="inlineStr"/>
      <c r="G8" s="2" t="inlineStr"/>
      <c r="H8" s="2" t="inlineStr"/>
    </row>
    <row r="9">
      <c r="A9" s="2" t="inlineStr">
        <is>
          <t>CP-008</t>
        </is>
      </c>
      <c r="B9" s="2" t="inlineStr">
        <is>
          <t>Invoices list</t>
        </is>
      </c>
      <c r="C9" s="2" t="inlineStr">
        <is>
          <t>Has invoices</t>
        </is>
      </c>
      <c r="D9" s="2" t="inlineStr">
        <is>
          <t>Invoices page</t>
        </is>
      </c>
      <c r="E9" s="2" t="inlineStr">
        <is>
          <t>List shown</t>
        </is>
      </c>
      <c r="F9" s="2" t="inlineStr"/>
      <c r="G9" s="2" t="inlineStr"/>
      <c r="H9" s="2" t="inlineStr"/>
    </row>
    <row r="10">
      <c r="A10" s="2" t="inlineStr">
        <is>
          <t>CP-009</t>
        </is>
      </c>
      <c r="B10" s="2" t="inlineStr">
        <is>
          <t>Invoice detail</t>
        </is>
      </c>
      <c r="C10" s="2" t="inlineStr">
        <is>
          <t>Invoice exists</t>
        </is>
      </c>
      <c r="D10" s="2" t="inlineStr">
        <is>
          <t>Click invoice</t>
        </is>
      </c>
      <c r="E10" s="2" t="inlineStr">
        <is>
          <t>Line items, GST</t>
        </is>
      </c>
      <c r="F10" s="2" t="inlineStr"/>
      <c r="G10" s="2" t="inlineStr"/>
      <c r="H10" s="2" t="inlineStr"/>
    </row>
    <row r="11">
      <c r="A11" s="2" t="inlineStr">
        <is>
          <t>CP-010</t>
        </is>
      </c>
      <c r="B11" s="2" t="inlineStr">
        <is>
          <t>Download invoice</t>
        </is>
      </c>
      <c r="C11" s="2" t="inlineStr">
        <is>
          <t>Invoice exists</t>
        </is>
      </c>
      <c r="D11" s="2" t="inlineStr">
        <is>
          <t>Download</t>
        </is>
      </c>
      <c r="E11" s="2" t="inlineStr">
        <is>
          <t>PDF OK</t>
        </is>
      </c>
      <c r="F11" s="2" t="inlineStr"/>
      <c r="G11" s="2" t="inlineStr"/>
      <c r="H11" s="2" t="inlineStr"/>
    </row>
    <row r="12">
      <c r="A12" s="2" t="inlineStr">
        <is>
          <t>CP-011</t>
        </is>
      </c>
      <c r="B12" s="2" t="inlineStr">
        <is>
          <t>Payments list</t>
        </is>
      </c>
      <c r="C12" s="2" t="inlineStr">
        <is>
          <t>Has payments</t>
        </is>
      </c>
      <c r="D12" s="2" t="inlineStr">
        <is>
          <t>Payments page</t>
        </is>
      </c>
      <c r="E12" s="2" t="inlineStr">
        <is>
          <t>List shown</t>
        </is>
      </c>
      <c r="F12" s="2" t="inlineStr"/>
      <c r="G12" s="2" t="inlineStr"/>
      <c r="H12" s="2" t="inlineStr"/>
    </row>
    <row r="13">
      <c r="A13" s="2" t="inlineStr">
        <is>
          <t>CP-012</t>
        </is>
      </c>
      <c r="B13" s="2" t="inlineStr">
        <is>
          <t>Account balance</t>
        </is>
      </c>
      <c r="C13" s="2" t="inlineStr">
        <is>
          <t>Transactions</t>
        </is>
      </c>
      <c r="D13" s="2" t="inlineStr">
        <is>
          <t>Balance page</t>
        </is>
      </c>
      <c r="E13" s="2" t="inlineStr">
        <is>
          <t>Outstanding shown</t>
        </is>
      </c>
      <c r="F13" s="2" t="inlineStr"/>
      <c r="G13" s="2" t="inlineStr"/>
      <c r="H13" s="2" t="inlineStr"/>
    </row>
    <row r="14">
      <c r="A14" s="2" t="inlineStr">
        <is>
          <t>CP-013</t>
        </is>
      </c>
      <c r="B14" s="2" t="inlineStr">
        <is>
          <t>Confirm delivery</t>
        </is>
      </c>
      <c r="C14" s="2" t="inlineStr">
        <is>
          <t>Pending</t>
        </is>
      </c>
      <c r="D14" s="2" t="inlineStr">
        <is>
          <t>Confirm &gt; Accept</t>
        </is>
      </c>
      <c r="E14" s="2" t="inlineStr">
        <is>
          <t>Confirmed</t>
        </is>
      </c>
      <c r="F14" s="2" t="inlineStr"/>
      <c r="G14" s="2" t="inlineStr"/>
      <c r="H14" s="2" t="inlineStr"/>
    </row>
    <row r="15">
      <c r="A15" s="2" t="inlineStr">
        <is>
          <t>CP-014</t>
        </is>
      </c>
      <c r="B15" s="2" t="inlineStr">
        <is>
          <t>Dispute delivery</t>
        </is>
      </c>
      <c r="C15" s="2" t="inlineStr">
        <is>
          <t>Pending</t>
        </is>
      </c>
      <c r="D15" s="2" t="inlineStr">
        <is>
          <t>Confirm &gt; Less qty</t>
        </is>
      </c>
      <c r="E15" s="2" t="inlineStr">
        <is>
          <t>Dispute recorded</t>
        </is>
      </c>
      <c r="F15" s="2" t="inlineStr"/>
      <c r="G15" s="2" t="inlineStr"/>
      <c r="H15" s="2" t="inlineStr"/>
    </row>
    <row r="16">
      <c r="A16" s="2" t="inlineStr">
        <is>
          <t>CP-015</t>
        </is>
      </c>
      <c r="B16" s="2" t="inlineStr">
        <is>
          <t>Update profile</t>
        </is>
      </c>
      <c r="C16" s="2" t="inlineStr">
        <is>
          <t>Logged in</t>
        </is>
      </c>
      <c r="D16" s="2" t="inlineStr">
        <is>
          <t>Account &gt; Address &gt; Save</t>
        </is>
      </c>
      <c r="E16" s="2" t="inlineStr">
        <is>
          <t>Updated</t>
        </is>
      </c>
      <c r="F16" s="2" t="inlineStr"/>
      <c r="G16" s="2" t="inlineStr"/>
      <c r="H16" s="2" t="inlineStr"/>
    </row>
    <row r="17">
      <c r="A17" s="2" t="inlineStr">
        <is>
          <t>CP-016</t>
        </is>
      </c>
      <c r="B17" s="2" t="inlineStr">
        <is>
          <t>Stopped supply</t>
        </is>
      </c>
      <c r="C17" s="2" t="inlineStr">
        <is>
          <t>Supply stopped</t>
        </is>
      </c>
      <c r="D17" s="2" t="inlineStr">
        <is>
          <t>Try to order</t>
        </is>
      </c>
      <c r="E17" s="2" t="inlineStr">
        <is>
          <t>Error</t>
        </is>
      </c>
      <c r="F17" s="2" t="inlineStr"/>
      <c r="G17" s="2" t="inlineStr"/>
      <c r="H17" s="2" t="inlineStr"/>
    </row>
    <row r="18">
      <c r="A18" s="2" t="inlineStr">
        <is>
          <t>CP-017</t>
        </is>
      </c>
      <c r="B18" s="2" t="inlineStr">
        <is>
          <t>Pagination</t>
        </is>
      </c>
      <c r="C18" s="2" t="inlineStr">
        <is>
          <t>26+ orders</t>
        </is>
      </c>
      <c r="D18" s="2" t="inlineStr">
        <is>
          <t>Page 2</t>
        </is>
      </c>
      <c r="E18" s="2" t="inlineStr">
        <is>
          <t>Works</t>
        </is>
      </c>
      <c r="F18" s="2" t="inlineStr"/>
      <c r="G18" s="2" t="inlineStr"/>
      <c r="H18" s="2" t="inlineStr"/>
    </row>
    <row r="19">
      <c r="A19" s="2" t="inlineStr">
        <is>
          <t>CP-018</t>
        </is>
      </c>
      <c r="B19" s="2" t="inlineStr">
        <is>
          <t>Invoice filter</t>
        </is>
      </c>
      <c r="C19" s="2" t="inlineStr">
        <is>
          <t>Various</t>
        </is>
      </c>
      <c r="D19" s="2" t="inlineStr">
        <is>
          <t>Status filter</t>
        </is>
      </c>
      <c r="E19" s="2" t="inlineStr">
        <is>
          <t>Filtered</t>
        </is>
      </c>
      <c r="F19" s="2" t="inlineStr"/>
      <c r="G19" s="2" t="inlineStr"/>
      <c r="H19" s="2" t="inlineStr"/>
    </row>
    <row r="21">
      <c r="A21" s="3" t="inlineStr">
        <is>
          <t>Total Tests</t>
        </is>
      </c>
      <c r="B21" s="4">
        <f>COUNTA(F2:F20)</f>
        <v/>
      </c>
    </row>
    <row r="22">
      <c r="A22" s="3" t="inlineStr">
        <is>
          <t>PASS</t>
        </is>
      </c>
      <c r="B22" s="4">
        <f>COUNTIF(F2:F20,"PASS")</f>
        <v/>
      </c>
    </row>
    <row r="23">
      <c r="A23" s="3" t="inlineStr">
        <is>
          <t>FAIL</t>
        </is>
      </c>
      <c r="B23" s="4">
        <f>COUNTIF(F2:F20,"FAIL")</f>
        <v/>
      </c>
    </row>
    <row r="24">
      <c r="A24" s="3" t="inlineStr">
        <is>
          <t>BLOCKED</t>
        </is>
      </c>
      <c r="B24" s="4">
        <f>COUNTIF(F2:F20,"BLOCKED")</f>
        <v/>
      </c>
    </row>
    <row r="25">
      <c r="A25" s="3" t="inlineStr">
        <is>
          <t>SKIPPED</t>
        </is>
      </c>
      <c r="B25" s="4">
        <f>COUNTIF(F2:F20,"SKIPPED")</f>
        <v/>
      </c>
    </row>
    <row r="26">
      <c r="A26" s="3" t="inlineStr">
        <is>
          <t>NOT TESTED</t>
        </is>
      </c>
      <c r="B26" s="4">
        <f>COUNTIF(F2:F20,"NOT TESTED")</f>
        <v/>
      </c>
    </row>
    <row r="27">
      <c r="A27" s="3" t="inlineStr">
        <is>
          <t>Pass Rate</t>
        </is>
      </c>
      <c r="B27" s="5">
        <f>IF(B22&gt;0,B22/B21,0)</f>
        <v/>
      </c>
    </row>
  </sheetData>
  <conditionalFormatting sqref="F2:F28">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"SKIPPED"</formula>
    </cfRule>
  </conditionalFormatting>
  <dataValidations count="1">
    <dataValidation sqref="F2 F3 F4 F5 F6 F7 F8 F9 F10 F11 F12 F13 F14 F15 F16 F17 F18 F19 F20 F21 F22 F23 F24 F25 F26 F27 F28 F29 F30 F31 F32 F33 F34 F35 F36 F37 F38 F39 F40 F41 F42 F43 F44 F45 F46 F47 F48 F49 F50 F51 F52 F53 G2 G3 G4 G5 G6 G7 G8 G9 G10 G11 G12 G13 G14 G15 G16 G17 G18 G19 G20 G21 G22 G23 G24 G25 G26 G27 G28 G29 G30 G31 G32 G33 G34 G35 G36 G37 G38 G39 G40 G41 G42 G43 G44 G45 G46 G47 G48" showDropDown="0" showInputMessage="0" showErrorMessage="0" allowBlank="1" type="list">
      <formula1>"PASS,FAIL,BLOCKED,SKIPPED,NOT TESTED"</formula1>
    </dataValidation>
  </dataValidations>
  <pageMargins left="0.75" right="0.75" top="1" bottom="1" header="0.5" footer="0.5"/>
</worksheet>
</file>

<file path=xl/worksheets/sheet12.xml><?xml version="1.0" encoding="utf-8"?>
<worksheet xmlns="http://schemas.openxmlformats.org/spreadsheetml/2006/main">
  <sheetPr>
    <tabColor rgb="001F4E79"/>
    <outlinePr summaryBelow="1" summaryRight="1"/>
    <pageSetUpPr/>
  </sheetPr>
  <dimension ref="A1:H39"/>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4" customWidth="1" min="3" max="3"/>
    <col width="40" customWidth="1" min="4" max="4"/>
    <col width="30" customWidth="1" min="5" max="5"/>
    <col width="12" customWidth="1" min="6" max="6"/>
    <col width="30" customWidth="1" min="7" max="7"/>
    <col width="25" customWidth="1" min="8" max="8"/>
  </cols>
  <sheetData>
    <row r="1">
      <c r="A1" s="1" t="inlineStr">
        <is>
          <t>Test ID</t>
        </is>
      </c>
      <c r="B1" s="1" t="inlineStr">
        <is>
          <t>Test Case</t>
        </is>
      </c>
      <c r="C1" s="1" t="inlineStr">
        <is>
          <t>Category</t>
        </is>
      </c>
      <c r="D1" s="1" t="inlineStr">
        <is>
          <t>Steps</t>
        </is>
      </c>
      <c r="E1" s="1" t="inlineStr">
        <is>
          <t>Expected Result</t>
        </is>
      </c>
      <c r="F1" s="1" t="inlineStr">
        <is>
          <t>Pass/Fail</t>
        </is>
      </c>
      <c r="G1" s="1" t="inlineStr">
        <is>
          <t>Actual Result</t>
        </is>
      </c>
      <c r="H1" s="1" t="inlineStr">
        <is>
          <t>Notes</t>
        </is>
      </c>
    </row>
    <row r="2">
      <c r="A2" s="2" t="inlineStr">
        <is>
          <t>NE-001</t>
        </is>
      </c>
      <c r="B2" s="2" t="inlineStr">
        <is>
          <t>Wrong password</t>
        </is>
      </c>
      <c r="C2" s="2" t="inlineStr">
        <is>
          <t>Auth</t>
        </is>
      </c>
      <c r="D2" s="2" t="inlineStr">
        <is>
          <t>Valid email + wrong pw</t>
        </is>
      </c>
      <c r="E2" s="2" t="inlineStr">
        <is>
          <t>Invalid credentials</t>
        </is>
      </c>
      <c r="F2" s="2" t="inlineStr"/>
      <c r="G2" s="2" t="inlineStr"/>
      <c r="H2" s="2" t="inlineStr"/>
    </row>
    <row r="3">
      <c r="A3" s="2" t="inlineStr">
        <is>
          <t>NE-002</t>
        </is>
      </c>
      <c r="B3" s="2" t="inlineStr">
        <is>
          <t>Non-existent email</t>
        </is>
      </c>
      <c r="C3" s="2" t="inlineStr">
        <is>
          <t>Auth</t>
        </is>
      </c>
      <c r="D3" s="2" t="inlineStr">
        <is>
          <t>Fake email</t>
        </is>
      </c>
      <c r="E3" s="2" t="inlineStr">
        <is>
          <t>Invalid credentials</t>
        </is>
      </c>
      <c r="F3" s="2" t="inlineStr"/>
      <c r="G3" s="2" t="inlineStr"/>
      <c r="H3" s="2" t="inlineStr"/>
    </row>
    <row r="4">
      <c r="A4" s="2" t="inlineStr">
        <is>
          <t>NE-003</t>
        </is>
      </c>
      <c r="B4" s="2" t="inlineStr">
        <is>
          <t>Empty login fields</t>
        </is>
      </c>
      <c r="C4" s="2" t="inlineStr">
        <is>
          <t>Auth</t>
        </is>
      </c>
      <c r="D4" s="2" t="inlineStr">
        <is>
          <t>Submit empty</t>
        </is>
      </c>
      <c r="E4" s="2" t="inlineStr">
        <is>
          <t>Validation errors</t>
        </is>
      </c>
      <c r="F4" s="2" t="inlineStr"/>
      <c r="G4" s="2" t="inlineStr"/>
      <c r="H4" s="2" t="inlineStr"/>
    </row>
    <row r="5">
      <c r="A5" s="2" t="inlineStr">
        <is>
          <t>NE-004</t>
        </is>
      </c>
      <c r="B5" s="2" t="inlineStr">
        <is>
          <t>Suspended user</t>
        </is>
      </c>
      <c r="C5" s="2" t="inlineStr">
        <is>
          <t>Auth</t>
        </is>
      </c>
      <c r="D5" s="2" t="inlineStr">
        <is>
          <t>Login as suspended</t>
        </is>
      </c>
      <c r="E5" s="2" t="inlineStr">
        <is>
          <t>Inactive</t>
        </is>
      </c>
      <c r="F5" s="2" t="inlineStr"/>
      <c r="G5" s="2" t="inlineStr"/>
      <c r="H5" s="2" t="inlineStr"/>
    </row>
    <row r="6">
      <c r="A6" s="2" t="inlineStr">
        <is>
          <t>NE-005</t>
        </is>
      </c>
      <c r="B6" s="2" t="inlineStr">
        <is>
          <t>Admin page as Customer</t>
        </is>
      </c>
      <c r="C6" s="2" t="inlineStr">
        <is>
          <t>AuthZ</t>
        </is>
      </c>
      <c r="D6" s="2" t="inlineStr">
        <is>
          <t>Customer &gt; /app/orders</t>
        </is>
      </c>
      <c r="E6" s="2" t="inlineStr">
        <is>
          <t>Denied</t>
        </is>
      </c>
      <c r="F6" s="2" t="inlineStr"/>
      <c r="G6" s="2" t="inlineStr"/>
      <c r="H6" s="2" t="inlineStr"/>
    </row>
    <row r="7">
      <c r="A7" s="2" t="inlineStr">
        <is>
          <t>NE-006</t>
        </is>
      </c>
      <c r="B7" s="2" t="inlineStr">
        <is>
          <t>Portal as Admin</t>
        </is>
      </c>
      <c r="C7" s="2" t="inlineStr">
        <is>
          <t>AuthZ</t>
        </is>
      </c>
      <c r="D7" s="2" t="inlineStr">
        <is>
          <t>Admin &gt; /app/customer/dashboard</t>
        </is>
      </c>
      <c r="E7" s="2" t="inlineStr">
        <is>
          <t>Denied</t>
        </is>
      </c>
      <c r="F7" s="2" t="inlineStr"/>
      <c r="G7" s="2" t="inlineStr"/>
      <c r="H7" s="2" t="inlineStr"/>
    </row>
    <row r="8">
      <c r="A8" s="2" t="inlineStr">
        <is>
          <t>NE-007</t>
        </is>
      </c>
      <c r="B8" s="2" t="inlineStr">
        <is>
          <t>Expired token</t>
        </is>
      </c>
      <c r="C8" s="2" t="inlineStr">
        <is>
          <t>Auth</t>
        </is>
      </c>
      <c r="D8" s="2" t="inlineStr">
        <is>
          <t>Use expired JWT</t>
        </is>
      </c>
      <c r="E8" s="2" t="inlineStr">
        <is>
          <t>401</t>
        </is>
      </c>
      <c r="F8" s="2" t="inlineStr"/>
      <c r="G8" s="2" t="inlineStr"/>
      <c r="H8" s="2" t="inlineStr"/>
    </row>
    <row r="9">
      <c r="A9" s="2" t="inlineStr">
        <is>
          <t>NE-008</t>
        </is>
      </c>
      <c r="B9" s="2" t="inlineStr">
        <is>
          <t>Invalid token</t>
        </is>
      </c>
      <c r="C9" s="2" t="inlineStr">
        <is>
          <t>Auth</t>
        </is>
      </c>
      <c r="D9" s="2" t="inlineStr">
        <is>
          <t>Garbage JWT</t>
        </is>
      </c>
      <c r="E9" s="2" t="inlineStr">
        <is>
          <t>401</t>
        </is>
      </c>
      <c r="F9" s="2" t="inlineStr"/>
      <c r="G9" s="2" t="inlineStr"/>
      <c r="H9" s="2" t="inlineStr"/>
    </row>
    <row r="10">
      <c r="A10" s="2" t="inlineStr">
        <is>
          <t>NE-009</t>
        </is>
      </c>
      <c r="B10" s="2" t="inlineStr">
        <is>
          <t>Stopped customer order</t>
        </is>
      </c>
      <c r="C10" s="2" t="inlineStr">
        <is>
          <t>Business</t>
        </is>
      </c>
      <c r="D10" s="2" t="inlineStr">
        <is>
          <t>Order for stopped customer</t>
        </is>
      </c>
      <c r="E10" s="2" t="inlineStr">
        <is>
          <t>Error</t>
        </is>
      </c>
      <c r="F10" s="2" t="inlineStr"/>
      <c r="G10" s="2" t="inlineStr"/>
      <c r="H10" s="2" t="inlineStr"/>
    </row>
    <row r="11">
      <c r="A11" s="2" t="inlineStr">
        <is>
          <t>NE-010</t>
        </is>
      </c>
      <c r="B11" s="2" t="inlineStr">
        <is>
          <t>Deliver &gt; ordered</t>
        </is>
      </c>
      <c r="C11" s="2" t="inlineStr">
        <is>
          <t>Business</t>
        </is>
      </c>
      <c r="D11" s="2" t="inlineStr">
        <is>
          <t>Order 5, deliver 10</t>
        </is>
      </c>
      <c r="E11" s="2" t="inlineStr">
        <is>
          <t>Error</t>
        </is>
      </c>
      <c r="F11" s="2" t="inlineStr"/>
      <c r="G11" s="2" t="inlineStr"/>
      <c r="H11" s="2" t="inlineStr"/>
    </row>
    <row r="12">
      <c r="A12" s="2" t="inlineStr">
        <is>
          <t>NE-011</t>
        </is>
      </c>
      <c r="B12" s="2" t="inlineStr">
        <is>
          <t>Double delivery</t>
        </is>
      </c>
      <c r="C12" s="2" t="inlineStr">
        <is>
          <t>Business</t>
        </is>
      </c>
      <c r="D12" s="2" t="inlineStr">
        <is>
          <t>Confirm twice</t>
        </is>
      </c>
      <c r="E12" s="2" t="inlineStr">
        <is>
          <t>Error</t>
        </is>
      </c>
      <c r="F12" s="2" t="inlineStr"/>
      <c r="G12" s="2" t="inlineStr"/>
      <c r="H12" s="2" t="inlineStr"/>
    </row>
    <row r="13">
      <c r="A13" s="2" t="inlineStr">
        <is>
          <t>NE-012</t>
        </is>
      </c>
      <c r="B13" s="2" t="inlineStr">
        <is>
          <t>Overpayment</t>
        </is>
      </c>
      <c r="C13" s="2" t="inlineStr">
        <is>
          <t>Business</t>
        </is>
      </c>
      <c r="D13" s="2" t="inlineStr">
        <is>
          <t>Pay more than invoice</t>
        </is>
      </c>
      <c r="E13" s="2" t="inlineStr">
        <is>
          <t>Excess unallocated</t>
        </is>
      </c>
      <c r="F13" s="2" t="inlineStr"/>
      <c r="G13" s="2" t="inlineStr"/>
      <c r="H13" s="2" t="inlineStr"/>
    </row>
    <row r="14">
      <c r="A14" s="2" t="inlineStr">
        <is>
          <t>NE-013</t>
        </is>
      </c>
      <c r="B14" s="2" t="inlineStr">
        <is>
          <t>Cancel delivered</t>
        </is>
      </c>
      <c r="C14" s="2" t="inlineStr">
        <is>
          <t>Business</t>
        </is>
      </c>
      <c r="D14" s="2" t="inlineStr">
        <is>
          <t>Cancel delivered order</t>
        </is>
      </c>
      <c r="E14" s="2" t="inlineStr">
        <is>
          <t>Error</t>
        </is>
      </c>
      <c r="F14" s="2" t="inlineStr"/>
      <c r="G14" s="2" t="inlineStr"/>
      <c r="H14" s="2" t="inlineStr"/>
    </row>
    <row r="15">
      <c r="A15" s="2" t="inlineStr">
        <is>
          <t>NE-014</t>
        </is>
      </c>
      <c r="B15" s="2" t="inlineStr">
        <is>
          <t>Empty order form</t>
        </is>
      </c>
      <c r="C15" s="2" t="inlineStr">
        <is>
          <t>Validation</t>
        </is>
      </c>
      <c r="D15" s="2" t="inlineStr">
        <is>
          <t>Submit empty</t>
        </is>
      </c>
      <c r="E15" s="2" t="inlineStr">
        <is>
          <t>Field errors</t>
        </is>
      </c>
      <c r="F15" s="2" t="inlineStr"/>
      <c r="G15" s="2" t="inlineStr"/>
      <c r="H15" s="2" t="inlineStr"/>
    </row>
    <row r="16">
      <c r="A16" s="2" t="inlineStr">
        <is>
          <t>NE-015</t>
        </is>
      </c>
      <c r="B16" s="2" t="inlineStr">
        <is>
          <t>Empty customer form</t>
        </is>
      </c>
      <c r="C16" s="2" t="inlineStr">
        <is>
          <t>Validation</t>
        </is>
      </c>
      <c r="D16" s="2" t="inlineStr">
        <is>
          <t>Submit empty</t>
        </is>
      </c>
      <c r="E16" s="2" t="inlineStr">
        <is>
          <t>Field errors</t>
        </is>
      </c>
      <c r="F16" s="2" t="inlineStr"/>
      <c r="G16" s="2" t="inlineStr"/>
      <c r="H16" s="2" t="inlineStr"/>
    </row>
    <row r="17">
      <c r="A17" s="2" t="inlineStr">
        <is>
          <t>NE-016</t>
        </is>
      </c>
      <c r="B17" s="2" t="inlineStr">
        <is>
          <t>XSS in name</t>
        </is>
      </c>
      <c r="C17" s="2" t="inlineStr">
        <is>
          <t>Security</t>
        </is>
      </c>
      <c r="D17" s="2" t="inlineStr">
        <is>
          <t>&lt;script&gt; in name</t>
        </is>
      </c>
      <c r="E17" s="2" t="inlineStr">
        <is>
          <t>Sanitized</t>
        </is>
      </c>
      <c r="F17" s="2" t="inlineStr"/>
      <c r="G17" s="2" t="inlineStr"/>
      <c r="H17" s="2" t="inlineStr"/>
    </row>
    <row r="18">
      <c r="A18" s="2" t="inlineStr">
        <is>
          <t>NE-017</t>
        </is>
      </c>
      <c r="B18" s="2" t="inlineStr">
        <is>
          <t>Huge quantity</t>
        </is>
      </c>
      <c r="C18" s="2" t="inlineStr">
        <is>
          <t>Edge</t>
        </is>
      </c>
      <c r="D18" s="2" t="inlineStr">
        <is>
          <t>qty=999999</t>
        </is>
      </c>
      <c r="E18" s="2" t="inlineStr">
        <is>
          <t>Handled</t>
        </is>
      </c>
      <c r="F18" s="2" t="inlineStr"/>
      <c r="G18" s="2" t="inlineStr"/>
      <c r="H18" s="2" t="inlineStr"/>
    </row>
    <row r="19">
      <c r="A19" s="2" t="inlineStr">
        <is>
          <t>NE-018</t>
        </is>
      </c>
      <c r="B19" s="2" t="inlineStr">
        <is>
          <t>Negative quantity</t>
        </is>
      </c>
      <c r="C19" s="2" t="inlineStr">
        <is>
          <t>Validation</t>
        </is>
      </c>
      <c r="D19" s="2" t="inlineStr">
        <is>
          <t>qty=-5</t>
        </is>
      </c>
      <c r="E19" s="2" t="inlineStr">
        <is>
          <t>Error</t>
        </is>
      </c>
      <c r="F19" s="2" t="inlineStr"/>
      <c r="G19" s="2" t="inlineStr"/>
      <c r="H19" s="2" t="inlineStr"/>
    </row>
    <row r="20">
      <c r="A20" s="2" t="inlineStr">
        <is>
          <t>NE-019</t>
        </is>
      </c>
      <c r="B20" s="2" t="inlineStr">
        <is>
          <t>Zero quantity</t>
        </is>
      </c>
      <c r="C20" s="2" t="inlineStr">
        <is>
          <t>Validation</t>
        </is>
      </c>
      <c r="D20" s="2" t="inlineStr">
        <is>
          <t>qty=0</t>
        </is>
      </c>
      <c r="E20" s="2" t="inlineStr">
        <is>
          <t>Error</t>
        </is>
      </c>
      <c r="F20" s="2" t="inlineStr"/>
      <c r="G20" s="2" t="inlineStr"/>
      <c r="H20" s="2" t="inlineStr"/>
    </row>
    <row r="21">
      <c r="A21" s="2" t="inlineStr">
        <is>
          <t>NE-020</t>
        </is>
      </c>
      <c r="B21" s="2" t="inlineStr">
        <is>
          <t>Past date</t>
        </is>
      </c>
      <c r="C21" s="2" t="inlineStr">
        <is>
          <t>Validation</t>
        </is>
      </c>
      <c r="D21" s="2" t="inlineStr">
        <is>
          <t>2 weeks ago</t>
        </is>
      </c>
      <c r="E21" s="2" t="inlineStr">
        <is>
          <t>Error</t>
        </is>
      </c>
      <c r="F21" s="2" t="inlineStr"/>
      <c r="G21" s="2" t="inlineStr"/>
      <c r="H21" s="2" t="inlineStr"/>
    </row>
    <row r="22">
      <c r="A22" s="2" t="inlineStr">
        <is>
          <t>NE-021</t>
        </is>
      </c>
      <c r="B22" s="2" t="inlineStr">
        <is>
          <t>Far future date</t>
        </is>
      </c>
      <c r="C22" s="2" t="inlineStr">
        <is>
          <t>Edge</t>
        </is>
      </c>
      <c r="D22" s="2" t="inlineStr">
        <is>
          <t>+1 year</t>
        </is>
      </c>
      <c r="E22" s="2" t="inlineStr">
        <is>
          <t>Accepted or error</t>
        </is>
      </c>
      <c r="F22" s="2" t="inlineStr"/>
      <c r="G22" s="2" t="inlineStr"/>
      <c r="H22" s="2" t="inlineStr"/>
    </row>
    <row r="23">
      <c r="A23" s="2" t="inlineStr">
        <is>
          <t>NE-022</t>
        </is>
      </c>
      <c r="B23" s="2" t="inlineStr">
        <is>
          <t>Duplicate phone</t>
        </is>
      </c>
      <c r="C23" s="2" t="inlineStr">
        <is>
          <t>Validation</t>
        </is>
      </c>
      <c r="D23" s="2" t="inlineStr">
        <is>
          <t>Same phone twice</t>
        </is>
      </c>
      <c r="E23" s="2" t="inlineStr">
        <is>
          <t>Error</t>
        </is>
      </c>
      <c r="F23" s="2" t="inlineStr"/>
      <c r="G23" s="2" t="inlineStr"/>
      <c r="H23" s="2" t="inlineStr"/>
    </row>
    <row r="24">
      <c r="A24" s="2" t="inlineStr">
        <is>
          <t>NE-023</t>
        </is>
      </c>
      <c r="B24" s="2" t="inlineStr">
        <is>
          <t>Invalid GSTIN</t>
        </is>
      </c>
      <c r="C24" s="2" t="inlineStr">
        <is>
          <t>Validation</t>
        </is>
      </c>
      <c r="D24" s="2" t="inlineStr">
        <is>
          <t>Bad format</t>
        </is>
      </c>
      <c r="E24" s="2" t="inlineStr">
        <is>
          <t>Error</t>
        </is>
      </c>
      <c r="F24" s="2" t="inlineStr"/>
      <c r="G24" s="2" t="inlineStr"/>
      <c r="H24" s="2" t="inlineStr"/>
    </row>
    <row r="25">
      <c r="A25" s="2" t="inlineStr">
        <is>
          <t>NE-024</t>
        </is>
      </c>
      <c r="B25" s="2" t="inlineStr">
        <is>
          <t>Lock locked day</t>
        </is>
      </c>
      <c r="C25" s="2" t="inlineStr">
        <is>
          <t>Edge</t>
        </is>
      </c>
      <c r="D25" s="2" t="inlineStr">
        <is>
          <t>Lock twice</t>
        </is>
      </c>
      <c r="E25" s="2" t="inlineStr">
        <is>
          <t>Idempotent</t>
        </is>
      </c>
      <c r="F25" s="2" t="inlineStr"/>
      <c r="G25" s="2" t="inlineStr"/>
      <c r="H25" s="2" t="inlineStr"/>
    </row>
    <row r="26">
      <c r="A26" s="2" t="inlineStr">
        <is>
          <t>NE-025</t>
        </is>
      </c>
      <c r="B26" s="2" t="inlineStr">
        <is>
          <t>Assign to delivered</t>
        </is>
      </c>
      <c r="C26" s="2" t="inlineStr">
        <is>
          <t>Business</t>
        </is>
      </c>
      <c r="D26" s="2" t="inlineStr">
        <is>
          <t>Assign driver</t>
        </is>
      </c>
      <c r="E26" s="2" t="inlineStr">
        <is>
          <t>Error</t>
        </is>
      </c>
      <c r="F26" s="2" t="inlineStr"/>
      <c r="G26" s="2" t="inlineStr"/>
      <c r="H26" s="2" t="inlineStr"/>
    </row>
    <row r="27">
      <c r="A27" s="2" t="inlineStr">
        <is>
          <t>NE-026</t>
        </is>
      </c>
      <c r="B27" s="2" t="inlineStr">
        <is>
          <t>Rate limiting</t>
        </is>
      </c>
      <c r="C27" s="2" t="inlineStr">
        <is>
          <t>Security</t>
        </is>
      </c>
      <c r="D27" s="2" t="inlineStr">
        <is>
          <t>10+ rapid fails</t>
        </is>
      </c>
      <c r="E27" s="2" t="inlineStr">
        <is>
          <t>429</t>
        </is>
      </c>
      <c r="F27" s="2" t="inlineStr"/>
      <c r="G27" s="2" t="inlineStr"/>
      <c r="H27" s="2" t="inlineStr"/>
    </row>
    <row r="28">
      <c r="A28" s="2" t="inlineStr">
        <is>
          <t>NE-027</t>
        </is>
      </c>
      <c r="B28" s="2" t="inlineStr">
        <is>
          <t>SQL injection</t>
        </is>
      </c>
      <c r="C28" s="2" t="inlineStr">
        <is>
          <t>Security</t>
        </is>
      </c>
      <c r="D28" s="2" t="inlineStr">
        <is>
          <t>DROP TABLE in search</t>
        </is>
      </c>
      <c r="E28" s="2" t="inlineStr">
        <is>
          <t>No error</t>
        </is>
      </c>
      <c r="F28" s="2" t="inlineStr"/>
      <c r="G28" s="2" t="inlineStr"/>
      <c r="H28" s="2" t="inlineStr"/>
    </row>
    <row r="29">
      <c r="A29" s="2" t="inlineStr">
        <is>
          <t>NE-028</t>
        </is>
      </c>
      <c r="B29" s="2" t="inlineStr">
        <is>
          <t>Cross-distributor</t>
        </is>
      </c>
      <c r="C29" s="2" t="inlineStr">
        <is>
          <t>Multi-tenant</t>
        </is>
      </c>
      <c r="D29" s="2" t="inlineStr">
        <is>
          <t>Dist-001 &gt; Dist-002 data</t>
        </is>
      </c>
      <c r="E29" s="2" t="inlineStr">
        <is>
          <t>Forbidden</t>
        </is>
      </c>
      <c r="F29" s="2" t="inlineStr"/>
      <c r="G29" s="2" t="inlineStr"/>
      <c r="H29" s="2" t="inlineStr"/>
    </row>
    <row r="30">
      <c r="A30" s="2" t="inlineStr">
        <is>
          <t>NE-029</t>
        </is>
      </c>
      <c r="B30" s="2" t="inlineStr">
        <is>
          <t>No distributor context</t>
        </is>
      </c>
      <c r="C30" s="2" t="inlineStr">
        <is>
          <t>Edge</t>
        </is>
      </c>
      <c r="D30" s="2" t="inlineStr">
        <is>
          <t>Super admin no dist &gt; Create</t>
        </is>
      </c>
      <c r="E30" s="2" t="inlineStr">
        <is>
          <t>Error</t>
        </is>
      </c>
      <c r="F30" s="2" t="inlineStr"/>
      <c r="G30" s="2" t="inlineStr"/>
      <c r="H30" s="2" t="inlineStr"/>
    </row>
    <row r="31">
      <c r="A31" s="2" t="inlineStr">
        <is>
          <t>NE-030</t>
        </is>
      </c>
      <c r="B31" s="2" t="inlineStr">
        <is>
          <t>Concurrent edit</t>
        </is>
      </c>
      <c r="C31" s="2" t="inlineStr">
        <is>
          <t>Concurrency</t>
        </is>
      </c>
      <c r="D31" s="2" t="inlineStr">
        <is>
          <t>2 tabs same order</t>
        </is>
      </c>
      <c r="E31" s="2" t="inlineStr">
        <is>
          <t>Conflict handled</t>
        </is>
      </c>
      <c r="F31" s="2" t="inlineStr"/>
      <c r="G31" s="2" t="inlineStr"/>
      <c r="H31" s="2" t="inlineStr"/>
    </row>
    <row r="33">
      <c r="A33" s="3" t="inlineStr">
        <is>
          <t>Total Tests</t>
        </is>
      </c>
      <c r="B33" s="4">
        <f>COUNTA(F2:F32)</f>
        <v/>
      </c>
    </row>
    <row r="34">
      <c r="A34" s="3" t="inlineStr">
        <is>
          <t>PASS</t>
        </is>
      </c>
      <c r="B34" s="4">
        <f>COUNTIF(F2:F32,"PASS")</f>
        <v/>
      </c>
    </row>
    <row r="35">
      <c r="A35" s="3" t="inlineStr">
        <is>
          <t>FAIL</t>
        </is>
      </c>
      <c r="B35" s="4">
        <f>COUNTIF(F2:F32,"FAIL")</f>
        <v/>
      </c>
    </row>
    <row r="36">
      <c r="A36" s="3" t="inlineStr">
        <is>
          <t>BLOCKED</t>
        </is>
      </c>
      <c r="B36" s="4">
        <f>COUNTIF(F2:F32,"BLOCKED")</f>
        <v/>
      </c>
    </row>
    <row r="37">
      <c r="A37" s="3" t="inlineStr">
        <is>
          <t>SKIPPED</t>
        </is>
      </c>
      <c r="B37" s="4">
        <f>COUNTIF(F2:F32,"SKIPPED")</f>
        <v/>
      </c>
    </row>
    <row r="38">
      <c r="A38" s="3" t="inlineStr">
        <is>
          <t>NOT TESTED</t>
        </is>
      </c>
      <c r="B38" s="4">
        <f>COUNTIF(F2:F32,"NOT TESTED")</f>
        <v/>
      </c>
    </row>
    <row r="39">
      <c r="A39" s="3" t="inlineStr">
        <is>
          <t>Pass Rate</t>
        </is>
      </c>
      <c r="B39" s="5">
        <f>IF(B34&gt;0,B34/B33,0)</f>
        <v/>
      </c>
    </row>
  </sheetData>
  <conditionalFormatting sqref="F2:F40">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"SKIPPED"</formula>
    </cfRule>
  </conditionalFormatting>
  <dataValidations count="1">
    <dataValidation sqref="F2 F3 F4 F5 F6 F7 F8 F9 F10 F11 F12 F13 F14 F15 F16 F17 F18 F19 F20 F21 F22 F23 F24 F25 F26 F27 F28 F29 F30 F31 F32 F33 F34 F35 F36 F37 F38 F39 F40 F41 F42 F43 F44 F45 F46 F47 F48 F49 F50 F51 F52 F53 G2 G3 G4 G5 G6 G7 G8 G9 G10 G11 G12 G13 G14 G15 G16 G17 G18 G19 G20 G21 G22 G23 G24 G25 G26 G27 G28 G29 G30 G31 G32 G33 G34 G35 G36 G37 G38 G39 G40 G41 G42 G43 G44 G45 G46 G47 G48" showDropDown="0" showInputMessage="0" showErrorMessage="0" allowBlank="1" type="list">
      <formula1>"PASS,FAIL,BLOCKED,SKIPPED,NOT TESTED"</formula1>
    </dataValidation>
  </dataValidations>
  <pageMargins left="0.75" right="0.75" top="1" bottom="1" header="0.5" footer="0.5"/>
</worksheet>
</file>

<file path=xl/worksheets/sheet13.xml><?xml version="1.0" encoding="utf-8"?>
<worksheet xmlns="http://schemas.openxmlformats.org/spreadsheetml/2006/main">
  <sheetPr>
    <tabColor rgb="0000B050"/>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0" customWidth="1" min="3" max="3"/>
    <col width="10" customWidth="1" min="4" max="4"/>
    <col width="10" customWidth="1" min="5" max="5"/>
    <col width="10" customWidth="1" min="6" max="6"/>
    <col width="14" customWidth="1" min="7" max="7"/>
    <col width="12" customWidth="1" min="8" max="8"/>
  </cols>
  <sheetData>
    <row r="1">
      <c r="A1" s="6" t="inlineStr">
        <is>
          <t>Sheet</t>
        </is>
      </c>
      <c r="B1" s="6" t="inlineStr">
        <is>
          <t>Total Tests</t>
        </is>
      </c>
      <c r="C1" s="6" t="inlineStr">
        <is>
          <t>PASS</t>
        </is>
      </c>
      <c r="D1" s="6" t="inlineStr">
        <is>
          <t>FAIL</t>
        </is>
      </c>
      <c r="E1" s="6" t="inlineStr">
        <is>
          <t>BLOCKED</t>
        </is>
      </c>
      <c r="F1" s="6" t="inlineStr">
        <is>
          <t>SKIPPED</t>
        </is>
      </c>
      <c r="G1" s="6" t="inlineStr">
        <is>
          <t>NOT TESTED</t>
        </is>
      </c>
      <c r="H1" s="6" t="inlineStr">
        <is>
          <t>Pass Rate</t>
        </is>
      </c>
    </row>
    <row r="2">
      <c r="A2" s="7" t="inlineStr">
        <is>
          <t>Role-Based Access</t>
        </is>
      </c>
      <c r="B2" s="8">
        <f>COUNTA('Role-Based Access'!F2:F53)</f>
        <v/>
      </c>
      <c r="C2" s="8">
        <f>COUNTIF('Role-Based Access'!F2:F53,"PASS")</f>
        <v/>
      </c>
      <c r="D2" s="8">
        <f>COUNTIF('Role-Based Access'!F2:F53,"FAIL")</f>
        <v/>
      </c>
      <c r="E2" s="8">
        <f>COUNTIF('Role-Based Access'!F2:F53,"BLOCKED")</f>
        <v/>
      </c>
      <c r="F2" s="8">
        <f>COUNTIF('Role-Based Access'!F2:F53,"SKIPPED")</f>
        <v/>
      </c>
      <c r="G2" s="8">
        <f>COUNTIF('Role-Based Access'!F2:F53,"NOT TESTED")</f>
        <v/>
      </c>
      <c r="H2" s="9">
        <f>IF(B2&gt;0,C2/B2,0)</f>
        <v/>
      </c>
    </row>
    <row r="3">
      <c r="A3" s="7" t="inlineStr">
        <is>
          <t>Orders Tests</t>
        </is>
      </c>
      <c r="B3" s="8">
        <f>COUNTA('Orders Tests'!F2:F23)</f>
        <v/>
      </c>
      <c r="C3" s="8">
        <f>COUNTIF('Orders Tests'!F2:F23,"PASS")</f>
        <v/>
      </c>
      <c r="D3" s="8">
        <f>COUNTIF('Orders Tests'!F2:F23,"FAIL")</f>
        <v/>
      </c>
      <c r="E3" s="8">
        <f>COUNTIF('Orders Tests'!F2:F23,"BLOCKED")</f>
        <v/>
      </c>
      <c r="F3" s="8">
        <f>COUNTIF('Orders Tests'!F2:F23,"SKIPPED")</f>
        <v/>
      </c>
      <c r="G3" s="8">
        <f>COUNTIF('Orders Tests'!F2:F23,"NOT TESTED")</f>
        <v/>
      </c>
      <c r="H3" s="9">
        <f>IF(B3&gt;0,C3/B3,0)</f>
        <v/>
      </c>
    </row>
    <row r="4">
      <c r="A4" s="7" t="inlineStr">
        <is>
          <t>Inventory Tests</t>
        </is>
      </c>
      <c r="B4" s="8">
        <f>COUNTA('Inventory Tests'!F2:F19)</f>
        <v/>
      </c>
      <c r="C4" s="8">
        <f>COUNTIF('Inventory Tests'!F2:F19,"PASS")</f>
        <v/>
      </c>
      <c r="D4" s="8">
        <f>COUNTIF('Inventory Tests'!F2:F19,"FAIL")</f>
        <v/>
      </c>
      <c r="E4" s="8">
        <f>COUNTIF('Inventory Tests'!F2:F19,"BLOCKED")</f>
        <v/>
      </c>
      <c r="F4" s="8">
        <f>COUNTIF('Inventory Tests'!F2:F19,"SKIPPED")</f>
        <v/>
      </c>
      <c r="G4" s="8">
        <f>COUNTIF('Inventory Tests'!F2:F19,"NOT TESTED")</f>
        <v/>
      </c>
      <c r="H4" s="9">
        <f>IF(B4&gt;0,C4/B4,0)</f>
        <v/>
      </c>
    </row>
    <row r="5">
      <c r="A5" s="7" t="inlineStr">
        <is>
          <t>Customer Tests</t>
        </is>
      </c>
      <c r="B5" s="8">
        <f>COUNTA('Customer Tests'!F2:F18)</f>
        <v/>
      </c>
      <c r="C5" s="8">
        <f>COUNTIF('Customer Tests'!F2:F18,"PASS")</f>
        <v/>
      </c>
      <c r="D5" s="8">
        <f>COUNTIF('Customer Tests'!F2:F18,"FAIL")</f>
        <v/>
      </c>
      <c r="E5" s="8">
        <f>COUNTIF('Customer Tests'!F2:F18,"BLOCKED")</f>
        <v/>
      </c>
      <c r="F5" s="8">
        <f>COUNTIF('Customer Tests'!F2:F18,"SKIPPED")</f>
        <v/>
      </c>
      <c r="G5" s="8">
        <f>COUNTIF('Customer Tests'!F2:F18,"NOT TESTED")</f>
        <v/>
      </c>
      <c r="H5" s="9">
        <f>IF(B5&gt;0,C5/B5,0)</f>
        <v/>
      </c>
    </row>
    <row r="6">
      <c r="A6" s="7" t="inlineStr">
        <is>
          <t>Billing Tests</t>
        </is>
      </c>
      <c r="B6" s="8">
        <f>COUNTA('Billing Tests'!F2:F27)</f>
        <v/>
      </c>
      <c r="C6" s="8">
        <f>COUNTIF('Billing Tests'!F2:F27,"PASS")</f>
        <v/>
      </c>
      <c r="D6" s="8">
        <f>COUNTIF('Billing Tests'!F2:F27,"FAIL")</f>
        <v/>
      </c>
      <c r="E6" s="8">
        <f>COUNTIF('Billing Tests'!F2:F27,"BLOCKED")</f>
        <v/>
      </c>
      <c r="F6" s="8">
        <f>COUNTIF('Billing Tests'!F2:F27,"SKIPPED")</f>
        <v/>
      </c>
      <c r="G6" s="8">
        <f>COUNTIF('Billing Tests'!F2:F27,"NOT TESTED")</f>
        <v/>
      </c>
      <c r="H6" s="9">
        <f>IF(B6&gt;0,C6/B6,0)</f>
        <v/>
      </c>
    </row>
    <row r="7">
      <c r="A7" s="7" t="inlineStr">
        <is>
          <t>Fleet Tests</t>
        </is>
      </c>
      <c r="B7" s="8">
        <f>COUNTA('Fleet Tests'!F2:F12)</f>
        <v/>
      </c>
      <c r="C7" s="8">
        <f>COUNTIF('Fleet Tests'!F2:F12,"PASS")</f>
        <v/>
      </c>
      <c r="D7" s="8">
        <f>COUNTIF('Fleet Tests'!F2:F12,"FAIL")</f>
        <v/>
      </c>
      <c r="E7" s="8">
        <f>COUNTIF('Fleet Tests'!F2:F12,"BLOCKED")</f>
        <v/>
      </c>
      <c r="F7" s="8">
        <f>COUNTIF('Fleet Tests'!F2:F12,"SKIPPED")</f>
        <v/>
      </c>
      <c r="G7" s="8">
        <f>COUNTIF('Fleet Tests'!F2:F12,"NOT TESTED")</f>
        <v/>
      </c>
      <c r="H7" s="9">
        <f>IF(B7&gt;0,C7/B7,0)</f>
        <v/>
      </c>
    </row>
    <row r="8">
      <c r="A8" s="7" t="inlineStr">
        <is>
          <t>Settings Tests</t>
        </is>
      </c>
      <c r="B8" s="8">
        <f>COUNTA('Settings Tests'!F2:F18)</f>
        <v/>
      </c>
      <c r="C8" s="8">
        <f>COUNTIF('Settings Tests'!F2:F18,"PASS")</f>
        <v/>
      </c>
      <c r="D8" s="8">
        <f>COUNTIF('Settings Tests'!F2:F18,"FAIL")</f>
        <v/>
      </c>
      <c r="E8" s="8">
        <f>COUNTIF('Settings Tests'!F2:F18,"BLOCKED")</f>
        <v/>
      </c>
      <c r="F8" s="8">
        <f>COUNTIF('Settings Tests'!F2:F18,"SKIPPED")</f>
        <v/>
      </c>
      <c r="G8" s="8">
        <f>COUNTIF('Settings Tests'!F2:F18,"NOT TESTED")</f>
        <v/>
      </c>
      <c r="H8" s="9">
        <f>IF(B8&gt;0,C8/B8,0)</f>
        <v/>
      </c>
    </row>
    <row r="9">
      <c r="A9" s="7" t="inlineStr">
        <is>
          <t>Workflow - Order to Payment</t>
        </is>
      </c>
      <c r="B9" s="8">
        <f>COUNTA('Workflow - Order to Payment'!G2:G48)</f>
        <v/>
      </c>
      <c r="C9" s="8">
        <f>COUNTIF('Workflow - Order to Payment'!G2:G48,"PASS")</f>
        <v/>
      </c>
      <c r="D9" s="8">
        <f>COUNTIF('Workflow - Order to Payment'!G2:G48,"FAIL")</f>
        <v/>
      </c>
      <c r="E9" s="8">
        <f>COUNTIF('Workflow - Order to Payment'!G2:G48,"BLOCKED")</f>
        <v/>
      </c>
      <c r="F9" s="8">
        <f>COUNTIF('Workflow - Order to Payment'!G2:G48,"SKIPPED")</f>
        <v/>
      </c>
      <c r="G9" s="8">
        <f>COUNTIF('Workflow - Order to Payment'!G2:G48,"NOT TESTED")</f>
        <v/>
      </c>
      <c r="H9" s="9">
        <f>IF(B9&gt;0,C9/B9,0)</f>
        <v/>
      </c>
    </row>
    <row r="10">
      <c r="A10" s="7" t="inlineStr">
        <is>
          <t>Workflow - Inventory Cycle</t>
        </is>
      </c>
      <c r="B10" s="8">
        <f>COUNTA('Workflow - Inventory Cycle'!G2:G15)</f>
        <v/>
      </c>
      <c r="C10" s="8">
        <f>COUNTIF('Workflow - Inventory Cycle'!G2:G15,"PASS")</f>
        <v/>
      </c>
      <c r="D10" s="8">
        <f>COUNTIF('Workflow - Inventory Cycle'!G2:G15,"FAIL")</f>
        <v/>
      </c>
      <c r="E10" s="8">
        <f>COUNTIF('Workflow - Inventory Cycle'!G2:G15,"BLOCKED")</f>
        <v/>
      </c>
      <c r="F10" s="8">
        <f>COUNTIF('Workflow - Inventory Cycle'!G2:G15,"SKIPPED")</f>
        <v/>
      </c>
      <c r="G10" s="8">
        <f>COUNTIF('Workflow - Inventory Cycle'!G2:G15,"NOT TESTED")</f>
        <v/>
      </c>
      <c r="H10" s="9">
        <f>IF(B10&gt;0,C10/B10,0)</f>
        <v/>
      </c>
    </row>
    <row r="11">
      <c r="A11" s="7" t="inlineStr">
        <is>
          <t>Customer Portal Tests</t>
        </is>
      </c>
      <c r="B11" s="8">
        <f>COUNTA('Customer Portal Tests'!F2:F19)</f>
        <v/>
      </c>
      <c r="C11" s="8">
        <f>COUNTIF('Customer Portal Tests'!F2:F19,"PASS")</f>
        <v/>
      </c>
      <c r="D11" s="8">
        <f>COUNTIF('Customer Portal Tests'!F2:F19,"FAIL")</f>
        <v/>
      </c>
      <c r="E11" s="8">
        <f>COUNTIF('Customer Portal Tests'!F2:F19,"BLOCKED")</f>
        <v/>
      </c>
      <c r="F11" s="8">
        <f>COUNTIF('Customer Portal Tests'!F2:F19,"SKIPPED")</f>
        <v/>
      </c>
      <c r="G11" s="8">
        <f>COUNTIF('Customer Portal Tests'!F2:F19,"NOT TESTED")</f>
        <v/>
      </c>
      <c r="H11" s="9">
        <f>IF(B11&gt;0,C11/B11,0)</f>
        <v/>
      </c>
    </row>
    <row r="12">
      <c r="A12" s="7" t="inlineStr">
        <is>
          <t>Negative &amp; Edge Cases</t>
        </is>
      </c>
      <c r="B12" s="8">
        <f>COUNTA('Negative &amp; Edge Cases'!F2:F31)</f>
        <v/>
      </c>
      <c r="C12" s="8">
        <f>COUNTIF('Negative &amp; Edge Cases'!F2:F31,"PASS")</f>
        <v/>
      </c>
      <c r="D12" s="8">
        <f>COUNTIF('Negative &amp; Edge Cases'!F2:F31,"FAIL")</f>
        <v/>
      </c>
      <c r="E12" s="8">
        <f>COUNTIF('Negative &amp; Edge Cases'!F2:F31,"BLOCKED")</f>
        <v/>
      </c>
      <c r="F12" s="8">
        <f>COUNTIF('Negative &amp; Edge Cases'!F2:F31,"SKIPPED")</f>
        <v/>
      </c>
      <c r="G12" s="8">
        <f>COUNTIF('Negative &amp; Edge Cases'!F2:F31,"NOT TESTED")</f>
        <v/>
      </c>
      <c r="H12" s="9">
        <f>IF(B12&gt;0,C12/B12,0)</f>
        <v/>
      </c>
    </row>
    <row r="14">
      <c r="A14" s="10" t="inlineStr">
        <is>
          <t>GRAND TOTAL</t>
        </is>
      </c>
      <c r="B14" s="11">
        <f>SUM(B2:B12)</f>
        <v/>
      </c>
      <c r="C14" s="11">
        <f>SUM(C2:C12)</f>
        <v/>
      </c>
      <c r="D14" s="11">
        <f>SUM(D2:D12)</f>
        <v/>
      </c>
      <c r="E14" s="11">
        <f>SUM(E2:E12)</f>
        <v/>
      </c>
      <c r="F14" s="11">
        <f>SUM(F2:F12)</f>
        <v/>
      </c>
      <c r="G14" s="11">
        <f>SUM(G2:G12)</f>
        <v/>
      </c>
      <c r="H14" s="12">
        <f>IF(B14&gt;0,C14/B14,0)</f>
        <v/>
      </c>
    </row>
    <row r="16">
      <c r="A16" s="13" t="inlineStr">
        <is>
          <t>OVERALL STATUS</t>
        </is>
      </c>
    </row>
    <row r="17">
      <c r="A17" s="13">
        <f>IF(D14=0,IF(C14=B14,"ALL PASSED","IN PROGRESS"),"FAILURES FOUND")</f>
        <v/>
      </c>
    </row>
  </sheetData>
  <conditionalFormatting sqref="D2:D12">
    <cfRule type="cellIs" priority="1" operator="greaterThan" dxfId="1">
      <formula>0</formula>
    </cfRule>
  </conditionalFormatting>
  <conditionalFormatting sqref="H2:H12">
    <cfRule type="cellIs" priority="2" operator="equal" dxfId="0">
      <formula>1</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2026-03-24T02:18:04Z</dcterms:created>
  <dcterms:modified xmlns:dcterms="http://purl.org/dc/terms/" xmlns:xsi="http://www.w3.org/2001/XMLSchema-instance" xsi:type="dcterms:W3CDTF">2026-03-24T02:18:04Z</dcterms:modified>
</cp:coreProperties>
</file>